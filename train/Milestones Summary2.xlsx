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050"/>
  </bookViews>
  <sheets>
    <sheet name="Milestone 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<sst xmlns="http://schemas.openxmlformats.org/spreadsheetml/2006/main" count="27" uniqueCount="25">
  <si>
    <t>CHAK Daraka Project Milestone Performance Summary</t>
  </si>
  <si>
    <t>M1 actual performance from CoT and Activelinelist | M2–M6 reserved for future monthly updates</t>
  </si>
  <si>
    <t>STORY IN BRIEF</t>
  </si>
  <si>
    <t>MONTHLY PERFORMANCE ASSESSMENT</t>
  </si>
  <si>
    <t>ID</t>
  </si>
  <si>
    <t>Milestone</t>
  </si>
  <si>
    <t xml:space="preserve">6-Month Allocation </t>
  </si>
  <si>
    <t>Performance</t>
  </si>
  <si>
    <t>Alerts</t>
  </si>
  <si>
    <t>Monthly Payments - Earned</t>
  </si>
  <si>
    <t>Monthly Payments - Paid</t>
  </si>
  <si>
    <t>Monthly Balnce Balance</t>
  </si>
  <si>
    <t>Payment Status</t>
  </si>
  <si>
    <t>Overall Balance</t>
  </si>
  <si>
    <t>Verified</t>
  </si>
  <si>
    <t>%</t>
  </si>
  <si>
    <t>On Track</t>
  </si>
  <si>
    <t>$$$</t>
  </si>
  <si>
    <t>$$$$</t>
  </si>
  <si>
    <t>Fully Paid</t>
  </si>
  <si>
    <t>Yes/No</t>
  </si>
  <si>
    <t>Watch</t>
  </si>
  <si>
    <t>Partially Paid</t>
  </si>
  <si>
    <t>Off Track</t>
  </si>
  <si>
    <t>Not Paid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</si>
</sst>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27">
    <font>
      <sz val="11"/>
      <color theme="1"/>
      <name val="Calibri"/>
      <charset val="134"/>
      <scheme val="minor"/>
    </font>
    <font>
      <b/>
      <sz val="18"/>
      <color rgb="FFFFFFFF"/>
      <name val="Calibri"/>
      <charset val="134"/>
      <scheme val="minor"/>
    </font>
    <font>
      <i/>
      <sz val="10"/>
      <color rgb="FF555555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33333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1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13" borderId="8" applyNumberFormat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3" fillId="4" borderId="0" xfId="0" applyFont="1" applyFill="1"/>
    <xf numFmtId="0" fontId="4" fillId="5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vertical="center" wrapText="1"/>
    </xf>
    <xf numFmtId="2" fontId="6" fillId="0" borderId="3" xfId="0" applyNumberFormat="1" applyFont="1" applyBorder="1" applyAlignment="1">
      <alignment horizontal="center" vertical="center"/>
    </xf>
    <xf numFmtId="178" fontId="6" fillId="0" borderId="3" xfId="0" applyNumberFormat="1" applyFont="1" applyBorder="1" applyAlignment="1">
      <alignment horizontal="center" vertical="center"/>
    </xf>
    <xf numFmtId="178" fontId="6" fillId="7" borderId="3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vertical="center" wrapText="1"/>
    </xf>
    <xf numFmtId="178" fontId="6" fillId="8" borderId="2" xfId="0" applyNumberFormat="1" applyFont="1" applyFill="1" applyBorder="1" applyAlignment="1">
      <alignment horizontal="center" vertical="center"/>
    </xf>
    <xf numFmtId="178" fontId="6" fillId="9" borderId="2" xfId="0" applyNumberFormat="1" applyFont="1" applyFill="1" applyBorder="1" applyAlignment="1">
      <alignment horizontal="center" vertical="center"/>
    </xf>
    <xf numFmtId="178" fontId="6" fillId="9" borderId="2" xfId="0" applyNumberFormat="1" applyFont="1" applyFill="1" applyBorder="1" applyAlignment="1">
      <alignment horizontal="left" vertical="center"/>
    </xf>
    <xf numFmtId="178" fontId="6" fillId="0" borderId="2" xfId="0" applyNumberFormat="1" applyFont="1" applyBorder="1" applyAlignment="1">
      <alignment horizontal="center" vertical="center"/>
    </xf>
    <xf numFmtId="178" fontId="6" fillId="10" borderId="2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116" zoomScaleNormal="116" topLeftCell="A3" workbookViewId="0">
      <selection activeCell="B11" sqref="B11"/>
    </sheetView>
  </sheetViews>
  <sheetFormatPr defaultColWidth="11.4285714285714" defaultRowHeight="15"/>
  <cols>
    <col min="1" max="1" width="6.42857142857143" customWidth="1"/>
    <col min="2" max="2" width="31.4285714285714" customWidth="1"/>
    <col min="3" max="9" width="9.71428571428571" customWidth="1"/>
    <col min="10" max="11" width="10.2857142857143" customWidth="1"/>
  </cols>
  <sheetData>
    <row r="1" ht="23.25" spans="1:1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>
      <c r="A5" s="4" t="e">
        <f>"All 26 CHAK milestones are listed. Milestones 1–3 are marked Submitted. M1 currently has "&amp;COUNT(C11:C36)&amp;" data-driven percentage results from CoT and Activelinelist; M2–M6 remain blank until later monthly data is available. Of the available M1 measures, "&amp;COUNTIF(#REF!,"On target")&amp;" are on target and "&amp;COUNTIF(#REF!,"Below target")&amp;" are below target."</f>
        <v>#REF!</v>
      </c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8" spans="1:11">
      <c r="A8" s="3" t="s">
        <v>3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5" t="s">
        <v>4</v>
      </c>
      <c r="B9" s="5" t="s">
        <v>5</v>
      </c>
      <c r="C9" s="5"/>
      <c r="D9" s="5"/>
      <c r="E9" s="5"/>
      <c r="F9" s="5"/>
      <c r="G9" s="5"/>
      <c r="H9" s="5"/>
      <c r="I9" s="5"/>
      <c r="J9" s="5"/>
      <c r="K9" s="5"/>
    </row>
    <row r="10" ht="45" spans="1:11">
      <c r="A10" s="5"/>
      <c r="B10" s="5"/>
      <c r="C10" s="6" t="s">
        <v>6</v>
      </c>
      <c r="D10" s="6" t="s">
        <v>7</v>
      </c>
      <c r="E10" s="6" t="s">
        <v>8</v>
      </c>
      <c r="F10" s="6" t="s">
        <v>9</v>
      </c>
      <c r="G10" s="6" t="s">
        <v>10</v>
      </c>
      <c r="H10" s="6" t="s">
        <v>11</v>
      </c>
      <c r="I10" s="6" t="s">
        <v>12</v>
      </c>
      <c r="J10" s="6" t="s">
        <v>13</v>
      </c>
      <c r="K10" s="6" t="s">
        <v>14</v>
      </c>
    </row>
    <row r="11" ht="25.5" spans="1:11">
      <c r="A11" s="7">
        <v>1</v>
      </c>
      <c r="B11" s="8" t="str" cm="1">
        <f t="array" ref="B11">_xlfn.XLOOKUP(1,([1]Milestones!$A$3:$A$613="CHAK")*([1]Milestones!$B$3:$B$613=$A11),[1]Milestones!$C$3:$C$613,"")</f>
        <v>Milestone Plan and Workplan</v>
      </c>
      <c r="C11" s="9">
        <v>20000</v>
      </c>
      <c r="D11" s="10" t="s">
        <v>15</v>
      </c>
      <c r="E11" s="11" t="s">
        <v>16</v>
      </c>
      <c r="F11" s="10" t="s">
        <v>17</v>
      </c>
      <c r="G11" s="10" t="s">
        <v>18</v>
      </c>
      <c r="H11" s="10" t="s">
        <v>17</v>
      </c>
      <c r="I11" s="11" t="s">
        <v>19</v>
      </c>
      <c r="J11" s="10" t="s">
        <v>17</v>
      </c>
      <c r="K11" s="10" t="s">
        <v>20</v>
      </c>
    </row>
    <row r="12" ht="25.5" spans="1:11">
      <c r="A12" s="12">
        <v>2</v>
      </c>
      <c r="B12" s="13" t="str" cm="1">
        <f t="array" ref="B12">_xlfn.XLOOKUP(1,([1]Milestones!$A$3:$A$613="CHAK")*([1]Milestones!$B$3:$B$613=$A12),[1]Milestones!$C$3:$C$613,"")</f>
        <v>Program Personnel</v>
      </c>
      <c r="C12" s="14"/>
      <c r="D12" s="14"/>
      <c r="E12" s="15" t="s">
        <v>21</v>
      </c>
      <c r="F12" s="14"/>
      <c r="G12" s="14"/>
      <c r="H12" s="14"/>
      <c r="I12" s="16" t="s">
        <v>22</v>
      </c>
      <c r="J12" s="14"/>
      <c r="K12" s="14"/>
    </row>
    <row r="13" ht="25.5" spans="1:11">
      <c r="A13" s="7">
        <v>3</v>
      </c>
      <c r="B13" s="13" t="str" cm="1">
        <f t="array" ref="B13">_xlfn.XLOOKUP(1,([1]Milestones!$A$3:$A$613="CHAK")*([1]Milestones!$B$3:$B$613=$A13),[1]Milestones!$C$3:$C$613,"")</f>
        <v>MEL Plan &amp;  Data Quality Assurance (DQA) Protocol</v>
      </c>
      <c r="C13" s="17"/>
      <c r="D13" s="17"/>
      <c r="E13" s="18" t="s">
        <v>23</v>
      </c>
      <c r="F13" s="17"/>
      <c r="G13" s="17"/>
      <c r="H13" s="17"/>
      <c r="I13" s="18" t="s">
        <v>24</v>
      </c>
      <c r="J13" s="17"/>
      <c r="K13" s="17"/>
    </row>
    <row r="14" ht="25.5" spans="1:11">
      <c r="A14" s="12">
        <v>4</v>
      </c>
      <c r="B14" s="13" t="str" cm="1">
        <f t="array" ref="B14">_xlfn.XLOOKUP(1,([1]Milestones!$A$3:$A$613="CHAK")*([1]Milestones!$B$3:$B$613=$A14),[1]Milestones!$C$3:$C$613,"")</f>
        <v>Risk Analysis, Security Plan &amp; IT Security Audit</v>
      </c>
      <c r="C14" s="14"/>
      <c r="D14" s="14"/>
      <c r="E14" s="14"/>
      <c r="F14" s="14"/>
      <c r="G14" s="14"/>
      <c r="H14" s="14"/>
      <c r="I14" s="14"/>
      <c r="J14" s="14"/>
      <c r="K14" s="14"/>
    </row>
    <row r="15" ht="25.5" spans="1:11">
      <c r="A15" s="7">
        <v>5</v>
      </c>
      <c r="B15" s="13" t="str" cm="1">
        <f t="array" ref="B15">_xlfn.XLOOKUP(1,([1]Milestones!$A$3:$A$613="CHAK")*([1]Milestones!$B$3:$B$613=$A15),[1]Milestones!$C$3:$C$613,"")</f>
        <v>Performance Reports</v>
      </c>
      <c r="C15" s="17"/>
      <c r="D15" s="17"/>
      <c r="E15" s="17"/>
      <c r="F15" s="17"/>
      <c r="G15" s="17"/>
      <c r="H15" s="17"/>
      <c r="I15" s="17"/>
      <c r="J15" s="17"/>
      <c r="K15" s="17"/>
    </row>
    <row r="16" ht="25.5" spans="1:11">
      <c r="A16" s="12">
        <v>6</v>
      </c>
      <c r="B16" s="13" t="str" cm="1">
        <f t="array" ref="B16">_xlfn.XLOOKUP(1,([1]Milestones!$A$3:$A$613="CHAK")*([1]Milestones!$B$3:$B$613=$A16),[1]Milestones!$C$3:$C$613,"")</f>
        <v>HIV Case Identification</v>
      </c>
      <c r="C16" s="14"/>
      <c r="D16" s="14"/>
      <c r="E16" s="14"/>
      <c r="F16" s="14"/>
      <c r="G16" s="14"/>
      <c r="H16" s="14"/>
      <c r="I16" s="14"/>
      <c r="J16" s="14"/>
      <c r="K16" s="14"/>
    </row>
    <row r="17" ht="25.5" spans="1:11">
      <c r="A17" s="7">
        <v>7</v>
      </c>
      <c r="B17" s="13" t="str" cm="1">
        <f t="array" ref="B17">_xlfn.XLOOKUP(1,([1]Milestones!$A$3:$A$613="CHAK")*([1]Milestones!$B$3:$B$613=$A17),[1]Milestones!$C$3:$C$613,"")</f>
        <v>Linkage of HIV Positive Clients to ART</v>
      </c>
      <c r="C17" s="17"/>
      <c r="D17" s="17"/>
      <c r="E17" s="17"/>
      <c r="F17" s="17"/>
      <c r="G17" s="17"/>
      <c r="H17" s="17"/>
      <c r="I17" s="17"/>
      <c r="J17" s="17"/>
      <c r="K17" s="17"/>
    </row>
    <row r="18" spans="1:11">
      <c r="A18" s="12">
        <v>8</v>
      </c>
      <c r="B18" s="13" t="str" cm="1">
        <f t="array" ref="B18">_xlfn.XLOOKUP(1,([1]Milestones!$A$3:$A$613="CHAK")*([1]Milestones!$B$3:$B$613=$A18),[1]Milestones!$C$3:$C$613,"")</f>
        <v>PrEP Initiation</v>
      </c>
      <c r="C18" s="14"/>
      <c r="D18" s="14"/>
      <c r="E18" s="14"/>
      <c r="F18" s="14"/>
      <c r="G18" s="14"/>
      <c r="H18" s="14"/>
      <c r="I18" s="14"/>
      <c r="J18" s="14"/>
      <c r="K18" s="14"/>
    </row>
    <row r="19" ht="25.5" spans="1:11">
      <c r="A19" s="7">
        <v>9</v>
      </c>
      <c r="B19" s="13" t="str" cm="1">
        <f t="array" ref="B19">_xlfn.XLOOKUP(1,([1]Milestones!$A$3:$A$613="CHAK")*([1]Milestones!$B$3:$B$613=$A19),[1]Milestones!$C$3:$C$613,"")</f>
        <v>HIV Care, Treatment Continuity &amp; Retention</v>
      </c>
      <c r="C19" s="17">
        <f>IFERROR(SUM([1]CoT!K4:K189)/(SUM([1]CoT!F4:F189)+SUM([1]CoT!I4:I189)),0)</f>
        <v>0.00945666707183664</v>
      </c>
      <c r="D19" s="17"/>
      <c r="E19" s="17"/>
      <c r="F19" s="17"/>
      <c r="G19" s="17"/>
      <c r="H19" s="17"/>
      <c r="I19" s="17"/>
      <c r="J19" s="17">
        <v>0.02</v>
      </c>
      <c r="K19" s="17"/>
    </row>
    <row r="20" ht="25.5" spans="1:11">
      <c r="A20" s="12">
        <v>10</v>
      </c>
      <c r="B20" s="13" t="str" cm="1">
        <f t="array" ref="B20">_xlfn.XLOOKUP(1,([1]Milestones!$A$3:$A$613="CHAK")*([1]Milestones!$B$3:$B$613=$A20),[1]Milestones!$C$3:$C$613,"")</f>
        <v>Differentiated Service Delivery (DSD) Enrollment and Referral</v>
      </c>
      <c r="C20" s="14">
        <f>IFERROR(COUNTA([1]Activelinelist!AR2:AR40926)/COUNTA([1]Activelinelist!A2:A40926),0)</f>
        <v>0.999022004889976</v>
      </c>
      <c r="D20" s="14"/>
      <c r="E20" s="14"/>
      <c r="F20" s="14"/>
      <c r="G20" s="14"/>
      <c r="H20" s="14"/>
      <c r="I20" s="14"/>
      <c r="J20" s="14">
        <v>0.9</v>
      </c>
      <c r="K20" s="14"/>
    </row>
    <row r="21" ht="25.5" spans="1:11">
      <c r="A21" s="7">
        <v>11</v>
      </c>
      <c r="B21" s="8" t="str" cm="1">
        <f t="array" ref="B21">_xlfn.XLOOKUP(1,([1]Milestones!$A$3:$A$613="CHAK")*([1]Milestones!$B$3:$B$613=$A21),[1]Milestones!$C$3:$C$613,"")</f>
        <v>Advanced HIV Disease (AHD) identification and evaluation</v>
      </c>
      <c r="C21" s="17" cm="1">
        <f t="array" ref="C21">IFERROR(SUMPRODUCT(--([1]Activelinelist!I2:I40926&gt;=15),--([1]Activelinelist!BB2:BB40926="Yes"),--((([1]Activelinelist!Z2:Z40926&lt;&gt;"")+(([1]Activelinelist!BK2:BK40926&lt;&gt;"")*([1]Activelinelist!BK2:BK40926&lt;&gt;"Unknown CD4")))&gt;0))/SUMPRODUCT(--([1]Activelinelist!I2:I40926&gt;=15),--([1]Activelinelist!BB2:BB40926="Yes")),0)</f>
        <v>0.998293224099676</v>
      </c>
      <c r="D21" s="17"/>
      <c r="E21" s="17"/>
      <c r="F21" s="17"/>
      <c r="G21" s="17"/>
      <c r="H21" s="17"/>
      <c r="I21" s="17"/>
      <c r="J21" s="17">
        <v>0.9</v>
      </c>
      <c r="K21" s="17"/>
    </row>
    <row r="22" spans="1:11">
      <c r="A22" s="12">
        <v>12</v>
      </c>
      <c r="B22" s="13" t="str" cm="1">
        <f t="array" ref="B22">_xlfn.XLOOKUP(1,([1]Milestones!$A$3:$A$613="CHAK")*([1]Milestones!$B$3:$B$613=$A22),[1]Milestones!$C$3:$C$613,"")</f>
        <v>Integrated eVTP Services Cascade</v>
      </c>
      <c r="C22" s="14"/>
      <c r="D22" s="14"/>
      <c r="E22" s="14"/>
      <c r="F22" s="14"/>
      <c r="G22" s="14"/>
      <c r="H22" s="14"/>
      <c r="I22" s="14"/>
      <c r="J22" s="14"/>
      <c r="K22" s="14"/>
    </row>
    <row r="23" ht="25.5" spans="1:11">
      <c r="A23" s="7">
        <v>13</v>
      </c>
      <c r="B23" s="8" t="str" cm="1">
        <f t="array" ref="B23">_xlfn.XLOOKUP(1,([1]Milestones!$A$3:$A$613="CHAK")*([1]Milestones!$B$3:$B$613=$A23),[1]Milestones!$C$3:$C$613,"")</f>
        <v>eVTP Systems Strengthening and Governance</v>
      </c>
      <c r="C23" s="17"/>
      <c r="D23" s="17"/>
      <c r="E23" s="17"/>
      <c r="F23" s="17"/>
      <c r="G23" s="17"/>
      <c r="H23" s="17"/>
      <c r="I23" s="17"/>
      <c r="J23" s="17"/>
      <c r="K23" s="17"/>
    </row>
    <row r="24" ht="25.5" spans="1:11">
      <c r="A24" s="12">
        <v>14</v>
      </c>
      <c r="B24" s="13" t="str" cm="1">
        <f t="array" ref="B24">_xlfn.XLOOKUP(1,([1]Milestones!$A$3:$A$613="CHAK")*([1]Milestones!$B$3:$B$613=$A24),[1]Milestones!$C$3:$C$613,"")</f>
        <v>TB/HIV Case Identification</v>
      </c>
      <c r="C24" s="14">
        <f>IFERROR(COUNTA([1]Activelinelist!AL2:AL40926)/COUNTA([1]Activelinelist!A2:A40926),0)</f>
        <v>1</v>
      </c>
      <c r="D24" s="14"/>
      <c r="E24" s="14"/>
      <c r="F24" s="14"/>
      <c r="G24" s="14"/>
      <c r="H24" s="14"/>
      <c r="I24" s="14"/>
      <c r="J24" s="14">
        <v>0.9</v>
      </c>
      <c r="K24" s="14"/>
    </row>
    <row r="25" ht="25.5" spans="1:11">
      <c r="A25" s="7">
        <v>15</v>
      </c>
      <c r="B25" s="8" t="str" cm="1">
        <f t="array" ref="B25">_xlfn.XLOOKUP(1,([1]Milestones!$A$3:$A$613="CHAK")*([1]Milestones!$B$3:$B$613=$A25),[1]Milestones!$C$3:$C$613,"")</f>
        <v>TB Preventive Therapy</v>
      </c>
      <c r="C25" s="17">
        <f>IFERROR(COUNTA([1]Activelinelist!AN2:AN40926)/(COUNTA([1]Activelinelist!A2:A40926)-COUNTIF([1]Activelinelist!AK2:AK40926,"Yes")),0)</f>
        <v>0.953880177919141</v>
      </c>
      <c r="D25" s="17"/>
      <c r="E25" s="17"/>
      <c r="F25" s="17"/>
      <c r="G25" s="17"/>
      <c r="H25" s="17"/>
      <c r="I25" s="17"/>
      <c r="J25" s="17">
        <v>0.9</v>
      </c>
      <c r="K25" s="17"/>
    </row>
    <row r="26" ht="25.5" spans="1:11">
      <c r="A26" s="12">
        <v>16</v>
      </c>
      <c r="B26" s="13" t="str" cm="1">
        <f t="array" ref="B26">_xlfn.XLOOKUP(1,([1]Milestones!$A$3:$A$613="CHAK")*([1]Milestones!$B$3:$B$613=$A26),[1]Milestones!$C$3:$C$613,"")</f>
        <v>Viral Load Suppression</v>
      </c>
      <c r="C26" s="14">
        <f>IFERROR(COUNTIFS([1]Activelinelist!BO2:BO40926,"Valid",[1]Activelinelist!BP2:BP40926,"Suppressed")/COUNTIF([1]Activelinelist!BO2:BO40926,"Valid"),0)</f>
        <v>0.962201466808751</v>
      </c>
      <c r="D26" s="14"/>
      <c r="E26" s="14"/>
      <c r="F26" s="14"/>
      <c r="G26" s="14"/>
      <c r="H26" s="14"/>
      <c r="I26" s="14"/>
      <c r="J26" s="14">
        <v>0.95</v>
      </c>
      <c r="K26" s="14"/>
    </row>
    <row r="27" ht="25.5" spans="1:11">
      <c r="A27" s="7">
        <v>17</v>
      </c>
      <c r="B27" s="8" t="str" cm="1">
        <f t="array" ref="B27">_xlfn.XLOOKUP(1,([1]Milestones!$A$3:$A$613="CHAK")*([1]Milestones!$B$3:$B$613=$A27),[1]Milestones!$C$3:$C$613,"")</f>
        <v>County Transition Coordination Working Groups (CTCWGs)</v>
      </c>
      <c r="C27" s="17"/>
      <c r="D27" s="17"/>
      <c r="E27" s="17"/>
      <c r="F27" s="17"/>
      <c r="G27" s="17"/>
      <c r="H27" s="17"/>
      <c r="I27" s="17"/>
      <c r="J27" s="17"/>
      <c r="K27" s="17"/>
    </row>
    <row r="28" ht="25.5" spans="1:11">
      <c r="A28" s="12">
        <v>18</v>
      </c>
      <c r="B28" s="13" t="str" cm="1">
        <f t="array" ref="B28">_xlfn.XLOOKUP(1,([1]Milestones!$A$3:$A$613="CHAK")*([1]Milestones!$B$3:$B$613=$A28),[1]Milestones!$C$3:$C$613,"")</f>
        <v>Health Financing : SHA Enrollment</v>
      </c>
      <c r="C28" s="14">
        <f>IFERROR(COUNTA([1]Activelinelist!F2:F40926)/COUNTA([1]Activelinelist!A2:A40926),0)</f>
        <v>0.28320293398533</v>
      </c>
      <c r="D28" s="14"/>
      <c r="E28" s="14"/>
      <c r="F28" s="14"/>
      <c r="G28" s="14"/>
      <c r="H28" s="14"/>
      <c r="I28" s="14"/>
      <c r="J28" s="14">
        <v>0.5</v>
      </c>
      <c r="K28" s="14"/>
    </row>
    <row r="29" ht="25.5" spans="1:11">
      <c r="A29" s="7">
        <v>19</v>
      </c>
      <c r="B29" s="8" t="str" cm="1">
        <f t="array" ref="B29">_xlfn.XLOOKUP(1,([1]Milestones!$A$3:$A$613="CHAK")*([1]Milestones!$B$3:$B$613=$A29),[1]Milestones!$C$3:$C$613,"")</f>
        <v>Health Financing: Budget Advocacy</v>
      </c>
      <c r="C29" s="17"/>
      <c r="D29" s="17"/>
      <c r="E29" s="17"/>
      <c r="F29" s="17"/>
      <c r="G29" s="17"/>
      <c r="H29" s="17"/>
      <c r="I29" s="17"/>
      <c r="J29" s="17"/>
      <c r="K29" s="17"/>
    </row>
    <row r="30" ht="25.5" spans="1:11">
      <c r="A30" s="12">
        <v>20</v>
      </c>
      <c r="B30" s="13" t="str" cm="1">
        <f t="array" ref="B30">_xlfn.XLOOKUP(1,([1]Milestones!$A$3:$A$613="CHAK")*([1]Milestones!$B$3:$B$613=$A30),[1]Milestones!$C$3:$C$613,"")</f>
        <v>Laboratory Quality 
Assurance </v>
      </c>
      <c r="C30" s="14"/>
      <c r="D30" s="14"/>
      <c r="E30" s="14"/>
      <c r="F30" s="14"/>
      <c r="G30" s="14"/>
      <c r="H30" s="14"/>
      <c r="I30" s="14"/>
      <c r="J30" s="14"/>
      <c r="K30" s="14"/>
    </row>
    <row r="31" ht="25.5" spans="1:11">
      <c r="A31" s="7">
        <v>21</v>
      </c>
      <c r="B31" s="8" t="str" cm="1">
        <f t="array" ref="B31">_xlfn.XLOOKUP(1,([1]Milestones!$A$3:$A$613="CHAK")*([1]Milestones!$B$3:$B$613=$A31),[1]Milestones!$C$3:$C$613,"")</f>
        <v>Commodity Security </v>
      </c>
      <c r="C31" s="17"/>
      <c r="D31" s="17"/>
      <c r="E31" s="17"/>
      <c r="F31" s="17"/>
      <c r="G31" s="17"/>
      <c r="H31" s="17"/>
      <c r="I31" s="17"/>
      <c r="J31" s="17"/>
      <c r="K31" s="17"/>
    </row>
    <row r="32" ht="38.25" spans="1:11">
      <c r="A32" s="12">
        <v>22</v>
      </c>
      <c r="B32" s="13" t="str" cm="1">
        <f t="array" ref="B32">_xlfn.XLOOKUP(1,([1]Milestones!$A$3:$A$613="CHAK")*([1]Milestones!$B$3:$B$613=$A32),[1]Milestones!$C$3:$C$613,"")</f>
        <v>Digital Health Systems 
&amp; Electronic Reporting Coverage, Data Systems</v>
      </c>
      <c r="C32" s="14" cm="1">
        <f t="array" ref="C32">IFERROR(COUNTA(_xlfn.UNIQUE(_xlfn._xlws.FILTER([1]Activelinelist!A2:A40926,[1]Activelinelist!A2:A40926&lt;&gt;"")))/COUNTA(_xlfn.UNIQUE(_xlfn._xlws.FILTER([1]key!D2:D201,[1]key!D2:D201&lt;&gt;""))),0)</f>
        <v>0.79</v>
      </c>
      <c r="D32" s="14"/>
      <c r="E32" s="14"/>
      <c r="F32" s="14"/>
      <c r="G32" s="14"/>
      <c r="H32" s="14"/>
      <c r="I32" s="14"/>
      <c r="J32" s="14">
        <v>0.95</v>
      </c>
      <c r="K32" s="14"/>
    </row>
    <row r="33" ht="25.5" spans="1:11">
      <c r="A33" s="7">
        <v>23</v>
      </c>
      <c r="B33" s="8" t="str" cm="1">
        <f t="array" ref="B33">_xlfn.XLOOKUP(1,([1]Milestones!$A$3:$A$613="CHAK")*([1]Milestones!$B$3:$B$613=$A33),[1]Milestones!$C$3:$C$613,"")</f>
        <v>Outbreak Detection,  Readiness and Surveillance </v>
      </c>
      <c r="C33" s="17"/>
      <c r="D33" s="17"/>
      <c r="E33" s="17"/>
      <c r="F33" s="17"/>
      <c r="G33" s="17"/>
      <c r="H33" s="17"/>
      <c r="I33" s="17"/>
      <c r="J33" s="17"/>
      <c r="K33" s="17"/>
    </row>
    <row r="34" ht="25.5" spans="1:11">
      <c r="A34" s="12">
        <v>24</v>
      </c>
      <c r="B34" s="13" t="str" cm="1">
        <f t="array" ref="B34">_xlfn.XLOOKUP(1,([1]Milestones!$A$3:$A$613="CHAK")*([1]Milestones!$B$3:$B$613=$A34),[1]Milestones!$C$3:$C$613,"")</f>
        <v>HRH Rationalization </v>
      </c>
      <c r="C34" s="14"/>
      <c r="D34" s="14"/>
      <c r="E34" s="14"/>
      <c r="F34" s="14"/>
      <c r="G34" s="14"/>
      <c r="H34" s="14"/>
      <c r="I34" s="14"/>
      <c r="J34" s="14"/>
      <c r="K34" s="14"/>
    </row>
    <row r="35" ht="25.5" spans="1:11">
      <c r="A35" s="7">
        <v>25</v>
      </c>
      <c r="B35" s="8" t="str" cm="1">
        <f t="array" ref="B35">_xlfn.XLOOKUP(1,([1]Milestones!$A$3:$A$613="CHAK")*([1]Milestones!$B$3:$B$613=$A35),[1]Milestones!$C$3:$C$613,"")</f>
        <v>Implementation of CMaT Model</v>
      </c>
      <c r="C35" s="17"/>
      <c r="D35" s="17"/>
      <c r="E35" s="17"/>
      <c r="F35" s="17"/>
      <c r="G35" s="17"/>
      <c r="H35" s="17"/>
      <c r="I35" s="17"/>
      <c r="J35" s="17"/>
      <c r="K35" s="17"/>
    </row>
    <row r="36" ht="25.5" spans="1:11">
      <c r="A36" s="12">
        <v>26</v>
      </c>
      <c r="B36" s="13" t="str" cm="1">
        <f t="array" ref="B36">_xlfn.XLOOKUP(1,([1]Milestones!$A$3:$A$613="CHAK")*([1]Milestones!$B$3:$B$613=$A36),[1]Milestones!$C$3:$C$613,"")</f>
        <v>Strengthened Health 
Workforce Capacity</v>
      </c>
      <c r="C36" s="14"/>
      <c r="D36" s="14"/>
      <c r="E36" s="14"/>
      <c r="F36" s="14"/>
      <c r="G36" s="14"/>
      <c r="H36" s="14"/>
      <c r="I36" s="14"/>
      <c r="J36" s="14"/>
      <c r="K36" s="14"/>
    </row>
  </sheetData>
  <mergeCells count="6">
    <mergeCell ref="A1:K1"/>
    <mergeCell ref="A2:K2"/>
    <mergeCell ref="A4:K4"/>
    <mergeCell ref="A8:K8"/>
    <mergeCell ref="C9:D9"/>
    <mergeCell ref="A5:K6"/>
  </mergeCells>
  <pageMargins left="0.7" right="0.7" top="0.75" bottom="0.75" header="0.3" footer="0.3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Milestone 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Hastings Munene</dc:creator>
  <cp:lastModifiedBy>ADMIN</cp:lastModifiedBy>
  <dcterms:created xsi:type="dcterms:W3CDTF">2026-09-07T12:42:00Z</dcterms:created>
  <dcterms:modified xsi:type="dcterms:W3CDTF">2026-09-07T13:32:37Z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C8BEDEF5464443D7841A7F43DB29601C_13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