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mutugimmuriithi/Library/CloudStorage/Dropbox/CHAK/Project Performance Monitoring/"/>
    </mc:Choice>
  </mc:AlternateContent>
  <xr:revisionPtr revIDLastSave="0" documentId="13_ncr:1_{DE2FFCE0-7160-C14E-81E1-2D5E1942E65E}" xr6:coauthVersionLast="47" xr6:coauthVersionMax="47" xr10:uidLastSave="{00000000-0000-0000-0000-000000000000}"/>
  <bookViews>
    <workbookView xWindow="-2160" yWindow="-19900" windowWidth="29980" windowHeight="15840" tabRatio="500" firstSheet="1" activeTab="1" xr2:uid="{00000000-000D-0000-FFFF-FFFF00000000}"/>
  </bookViews>
  <sheets>
    <sheet name="Cover &amp; Instructions" sheetId="1" r:id="rId1"/>
    <sheet name="Portfolio Dashboard" sheetId="2" r:id="rId2"/>
    <sheet name="Jamii Tekelezi" sheetId="3" r:id="rId3"/>
    <sheet name="CHAP Stawisha" sheetId="4" r:id="rId4"/>
    <sheet name="Eye Health - ACSP &amp; GitLab" sheetId="5" r:id="rId5"/>
    <sheet name="EIS" sheetId="6" r:id="rId6"/>
    <sheet name="BFTW HSS" sheetId="7" r:id="rId7"/>
    <sheet name="BFTW RMNCAH" sheetId="8" r:id="rId8"/>
    <sheet name="PEP" sheetId="9" r:id="rId9"/>
    <sheet name="GF-MNCH" sheetId="10" r:id="rId10"/>
    <sheet name="IMPACT" sheetId="11" r:id="rId11"/>
    <sheet name="CDIC-iCARE" sheetId="12" r:id="rId1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10" i="3" l="1"/>
  <c r="L11" i="3"/>
  <c r="L12" i="3"/>
  <c r="L13" i="3"/>
  <c r="L14" i="3"/>
  <c r="L15" i="3"/>
  <c r="L16" i="3"/>
  <c r="L17" i="3"/>
  <c r="L18" i="3"/>
  <c r="L9" i="3"/>
  <c r="E30" i="12"/>
  <c r="G30" i="12" s="1"/>
  <c r="L30" i="12" s="1"/>
  <c r="E29" i="12"/>
  <c r="G29" i="12" s="1"/>
  <c r="L29" i="12" s="1"/>
  <c r="E28" i="12"/>
  <c r="G28" i="12" s="1"/>
  <c r="L28" i="12" s="1"/>
  <c r="E27" i="12"/>
  <c r="G27" i="12" s="1"/>
  <c r="L27" i="12" s="1"/>
  <c r="G26" i="12"/>
  <c r="L26" i="12" s="1"/>
  <c r="E26" i="12"/>
  <c r="E25" i="12"/>
  <c r="G25" i="12" s="1"/>
  <c r="L25" i="12" s="1"/>
  <c r="E24" i="12"/>
  <c r="G24" i="12" s="1"/>
  <c r="L24" i="12" s="1"/>
  <c r="L23" i="12"/>
  <c r="G23" i="12"/>
  <c r="E23" i="12"/>
  <c r="K18" i="12"/>
  <c r="H18" i="12"/>
  <c r="E18" i="12"/>
  <c r="I18" i="12" s="1"/>
  <c r="C18" i="12"/>
  <c r="J18" i="12" s="1"/>
  <c r="K17" i="12"/>
  <c r="I17" i="12"/>
  <c r="J17" i="12" s="1"/>
  <c r="D17" i="12"/>
  <c r="F17" i="12" s="1"/>
  <c r="G17" i="12" s="1"/>
  <c r="L17" i="12" s="1"/>
  <c r="K16" i="12"/>
  <c r="I16" i="12"/>
  <c r="J16" i="12" s="1"/>
  <c r="G16" i="12"/>
  <c r="L16" i="12" s="1"/>
  <c r="F16" i="12"/>
  <c r="D16" i="12"/>
  <c r="K15" i="12"/>
  <c r="I15" i="12"/>
  <c r="J15" i="12" s="1"/>
  <c r="F15" i="12"/>
  <c r="D15" i="12"/>
  <c r="K14" i="12"/>
  <c r="J14" i="12"/>
  <c r="I14" i="12"/>
  <c r="D14" i="12"/>
  <c r="K13" i="12"/>
  <c r="I13" i="12"/>
  <c r="J13" i="12" s="1"/>
  <c r="D13" i="12"/>
  <c r="F13" i="12" s="1"/>
  <c r="L12" i="12"/>
  <c r="K12" i="12"/>
  <c r="I12" i="12"/>
  <c r="J12" i="12" s="1"/>
  <c r="D12" i="12"/>
  <c r="F12" i="12" s="1"/>
  <c r="G12" i="12" s="1"/>
  <c r="K11" i="12"/>
  <c r="J11" i="12"/>
  <c r="I11" i="12"/>
  <c r="F11" i="12"/>
  <c r="G11" i="12" s="1"/>
  <c r="L11" i="12" s="1"/>
  <c r="D11" i="12"/>
  <c r="K10" i="12"/>
  <c r="J10" i="12"/>
  <c r="I10" i="12"/>
  <c r="D10" i="12"/>
  <c r="K9" i="12"/>
  <c r="I9" i="12"/>
  <c r="J9" i="12" s="1"/>
  <c r="D9" i="12"/>
  <c r="F9" i="12" s="1"/>
  <c r="G9" i="12" s="1"/>
  <c r="L9" i="12" s="1"/>
  <c r="G4" i="12"/>
  <c r="E30" i="11"/>
  <c r="G30" i="11" s="1"/>
  <c r="L30" i="11" s="1"/>
  <c r="G29" i="11"/>
  <c r="L29" i="11" s="1"/>
  <c r="E29" i="11"/>
  <c r="L28" i="11"/>
  <c r="G28" i="11"/>
  <c r="E28" i="11"/>
  <c r="G27" i="11"/>
  <c r="L27" i="11" s="1"/>
  <c r="E27" i="11"/>
  <c r="E26" i="11"/>
  <c r="G26" i="11" s="1"/>
  <c r="L26" i="11" s="1"/>
  <c r="E25" i="11"/>
  <c r="G25" i="11" s="1"/>
  <c r="L25" i="11" s="1"/>
  <c r="L24" i="11"/>
  <c r="E24" i="11"/>
  <c r="G24" i="11" s="1"/>
  <c r="G23" i="11"/>
  <c r="L23" i="11" s="1"/>
  <c r="E23" i="11"/>
  <c r="K18" i="11"/>
  <c r="J18" i="11"/>
  <c r="H18" i="11"/>
  <c r="E18" i="11"/>
  <c r="I18" i="11" s="1"/>
  <c r="C18" i="11"/>
  <c r="K17" i="11"/>
  <c r="J17" i="11"/>
  <c r="I17" i="11"/>
  <c r="G17" i="11"/>
  <c r="L17" i="11" s="1"/>
  <c r="F17" i="11"/>
  <c r="D17" i="11"/>
  <c r="K16" i="11"/>
  <c r="I16" i="11"/>
  <c r="J16" i="11" s="1"/>
  <c r="F16" i="11"/>
  <c r="D16" i="11"/>
  <c r="K15" i="11"/>
  <c r="J15" i="11"/>
  <c r="I15" i="11"/>
  <c r="D15" i="11"/>
  <c r="K14" i="11"/>
  <c r="I14" i="11"/>
  <c r="J14" i="11" s="1"/>
  <c r="F14" i="11"/>
  <c r="D14" i="11"/>
  <c r="G14" i="11" s="1"/>
  <c r="L14" i="11" s="1"/>
  <c r="L13" i="11"/>
  <c r="K13" i="11"/>
  <c r="I13" i="11"/>
  <c r="J13" i="11" s="1"/>
  <c r="G13" i="11"/>
  <c r="D13" i="11"/>
  <c r="F13" i="11" s="1"/>
  <c r="K12" i="11"/>
  <c r="J12" i="11"/>
  <c r="I12" i="11"/>
  <c r="F12" i="11"/>
  <c r="G12" i="11" s="1"/>
  <c r="L12" i="11" s="1"/>
  <c r="D12" i="11"/>
  <c r="K11" i="11"/>
  <c r="J11" i="11"/>
  <c r="I11" i="11"/>
  <c r="D11" i="11"/>
  <c r="K10" i="11"/>
  <c r="I10" i="11"/>
  <c r="J10" i="11" s="1"/>
  <c r="D10" i="11"/>
  <c r="F10" i="11" s="1"/>
  <c r="G10" i="11" s="1"/>
  <c r="L10" i="11" s="1"/>
  <c r="L9" i="11"/>
  <c r="K9" i="11"/>
  <c r="J9" i="11"/>
  <c r="I9" i="11"/>
  <c r="G9" i="11"/>
  <c r="F9" i="11"/>
  <c r="D9" i="11"/>
  <c r="D18" i="11" s="1"/>
  <c r="F18" i="11" s="1"/>
  <c r="G4" i="11"/>
  <c r="E30" i="10"/>
  <c r="G30" i="10" s="1"/>
  <c r="L30" i="10" s="1"/>
  <c r="E29" i="10"/>
  <c r="G29" i="10" s="1"/>
  <c r="L29" i="10" s="1"/>
  <c r="G28" i="10"/>
  <c r="L28" i="10" s="1"/>
  <c r="E28" i="10"/>
  <c r="E27" i="10"/>
  <c r="G27" i="10" s="1"/>
  <c r="L27" i="10" s="1"/>
  <c r="G26" i="10"/>
  <c r="L26" i="10" s="1"/>
  <c r="E26" i="10"/>
  <c r="L25" i="10"/>
  <c r="G25" i="10"/>
  <c r="E25" i="10"/>
  <c r="G24" i="10"/>
  <c r="L24" i="10" s="1"/>
  <c r="E24" i="10"/>
  <c r="E23" i="10"/>
  <c r="G23" i="10" s="1"/>
  <c r="L23" i="10" s="1"/>
  <c r="K18" i="10"/>
  <c r="I18" i="10"/>
  <c r="J18" i="10" s="1"/>
  <c r="H18" i="10"/>
  <c r="E18" i="10"/>
  <c r="C18" i="10"/>
  <c r="K17" i="10"/>
  <c r="I17" i="10"/>
  <c r="J17" i="10" s="1"/>
  <c r="F17" i="10"/>
  <c r="D17" i="10"/>
  <c r="K16" i="10"/>
  <c r="J16" i="10"/>
  <c r="I16" i="10"/>
  <c r="D16" i="10"/>
  <c r="K15" i="10"/>
  <c r="I15" i="10"/>
  <c r="J15" i="10" s="1"/>
  <c r="F15" i="10"/>
  <c r="G15" i="10" s="1"/>
  <c r="L15" i="10" s="1"/>
  <c r="D15" i="10"/>
  <c r="K14" i="10"/>
  <c r="I14" i="10"/>
  <c r="J14" i="10" s="1"/>
  <c r="D14" i="10"/>
  <c r="F14" i="10" s="1"/>
  <c r="G14" i="10" s="1"/>
  <c r="L14" i="10" s="1"/>
  <c r="K13" i="10"/>
  <c r="J13" i="10"/>
  <c r="I13" i="10"/>
  <c r="F13" i="10"/>
  <c r="D13" i="10"/>
  <c r="K12" i="10"/>
  <c r="J12" i="10"/>
  <c r="I12" i="10"/>
  <c r="D12" i="10"/>
  <c r="K11" i="10"/>
  <c r="I11" i="10"/>
  <c r="J11" i="10" s="1"/>
  <c r="D11" i="10"/>
  <c r="F11" i="10" s="1"/>
  <c r="G11" i="10" s="1"/>
  <c r="L11" i="10" s="1"/>
  <c r="K10" i="10"/>
  <c r="J10" i="10"/>
  <c r="I10" i="10"/>
  <c r="G10" i="10"/>
  <c r="L10" i="10" s="1"/>
  <c r="F10" i="10"/>
  <c r="D10" i="10"/>
  <c r="K9" i="10"/>
  <c r="I9" i="10"/>
  <c r="J9" i="10" s="1"/>
  <c r="F9" i="10"/>
  <c r="D9" i="10"/>
  <c r="G9" i="10" s="1"/>
  <c r="L9" i="10" s="1"/>
  <c r="G4" i="10"/>
  <c r="L30" i="9"/>
  <c r="G30" i="9"/>
  <c r="E30" i="9"/>
  <c r="G29" i="9"/>
  <c r="L29" i="9" s="1"/>
  <c r="E29" i="9"/>
  <c r="E28" i="9"/>
  <c r="G28" i="9" s="1"/>
  <c r="L28" i="9" s="1"/>
  <c r="L27" i="9"/>
  <c r="G27" i="9"/>
  <c r="E27" i="9"/>
  <c r="L26" i="9"/>
  <c r="E26" i="9"/>
  <c r="G26" i="9" s="1"/>
  <c r="G25" i="9"/>
  <c r="L25" i="9" s="1"/>
  <c r="E25" i="9"/>
  <c r="E24" i="9"/>
  <c r="G24" i="9" s="1"/>
  <c r="L24" i="9" s="1"/>
  <c r="G23" i="9"/>
  <c r="L23" i="9" s="1"/>
  <c r="J35" i="9" s="1"/>
  <c r="I12" i="2" s="1"/>
  <c r="E23" i="9"/>
  <c r="K18" i="9"/>
  <c r="H18" i="9"/>
  <c r="E18" i="9"/>
  <c r="I18" i="9" s="1"/>
  <c r="C18" i="9"/>
  <c r="K17" i="9"/>
  <c r="J17" i="9"/>
  <c r="I17" i="9"/>
  <c r="D17" i="9"/>
  <c r="K16" i="9"/>
  <c r="I16" i="9"/>
  <c r="J16" i="9" s="1"/>
  <c r="F16" i="9"/>
  <c r="G16" i="9" s="1"/>
  <c r="L16" i="9" s="1"/>
  <c r="D16" i="9"/>
  <c r="L15" i="9"/>
  <c r="K15" i="9"/>
  <c r="J15" i="9"/>
  <c r="I15" i="9"/>
  <c r="G15" i="9"/>
  <c r="D15" i="9"/>
  <c r="F15" i="9" s="1"/>
  <c r="K14" i="9"/>
  <c r="J14" i="9"/>
  <c r="I14" i="9"/>
  <c r="F14" i="9"/>
  <c r="D14" i="9"/>
  <c r="K13" i="9"/>
  <c r="J13" i="9"/>
  <c r="I13" i="9"/>
  <c r="D13" i="9"/>
  <c r="K12" i="9"/>
  <c r="I12" i="9"/>
  <c r="J12" i="9" s="1"/>
  <c r="G12" i="9"/>
  <c r="L12" i="9" s="1"/>
  <c r="F12" i="9"/>
  <c r="D12" i="9"/>
  <c r="K11" i="9"/>
  <c r="J11" i="9"/>
  <c r="I11" i="9"/>
  <c r="F11" i="9"/>
  <c r="G11" i="9" s="1"/>
  <c r="L11" i="9" s="1"/>
  <c r="D11" i="9"/>
  <c r="K10" i="9"/>
  <c r="I10" i="9"/>
  <c r="J10" i="9" s="1"/>
  <c r="D10" i="9"/>
  <c r="K9" i="9"/>
  <c r="J9" i="9"/>
  <c r="I9" i="9"/>
  <c r="D9" i="9"/>
  <c r="G4" i="9"/>
  <c r="E30" i="8"/>
  <c r="G30" i="8" s="1"/>
  <c r="L30" i="8" s="1"/>
  <c r="E29" i="8"/>
  <c r="G29" i="8" s="1"/>
  <c r="L29" i="8" s="1"/>
  <c r="G28" i="8"/>
  <c r="L28" i="8" s="1"/>
  <c r="E28" i="8"/>
  <c r="L27" i="8"/>
  <c r="G27" i="8"/>
  <c r="E27" i="8"/>
  <c r="G26" i="8"/>
  <c r="L26" i="8" s="1"/>
  <c r="E26" i="8"/>
  <c r="E25" i="8"/>
  <c r="G25" i="8" s="1"/>
  <c r="L25" i="8" s="1"/>
  <c r="E24" i="8"/>
  <c r="G24" i="8" s="1"/>
  <c r="L24" i="8" s="1"/>
  <c r="L23" i="8"/>
  <c r="E35" i="8" s="1"/>
  <c r="H11" i="2" s="1"/>
  <c r="E23" i="8"/>
  <c r="G23" i="8" s="1"/>
  <c r="K18" i="8"/>
  <c r="H18" i="8"/>
  <c r="E18" i="8"/>
  <c r="I18" i="8" s="1"/>
  <c r="C18" i="8"/>
  <c r="D11" i="2" s="1"/>
  <c r="L17" i="8"/>
  <c r="K17" i="8"/>
  <c r="I17" i="8"/>
  <c r="J17" i="8" s="1"/>
  <c r="F17" i="8"/>
  <c r="G17" i="8" s="1"/>
  <c r="D17" i="8"/>
  <c r="L16" i="8"/>
  <c r="K16" i="8"/>
  <c r="I16" i="8"/>
  <c r="J16" i="8" s="1"/>
  <c r="G16" i="8"/>
  <c r="D16" i="8"/>
  <c r="F16" i="8" s="1"/>
  <c r="K15" i="8"/>
  <c r="J15" i="8"/>
  <c r="I15" i="8"/>
  <c r="F15" i="8"/>
  <c r="D15" i="8"/>
  <c r="K14" i="8"/>
  <c r="J14" i="8"/>
  <c r="I14" i="8"/>
  <c r="D14" i="8"/>
  <c r="K13" i="8"/>
  <c r="I13" i="8"/>
  <c r="J13" i="8" s="1"/>
  <c r="G13" i="8"/>
  <c r="L13" i="8" s="1"/>
  <c r="D13" i="8"/>
  <c r="F13" i="8" s="1"/>
  <c r="K12" i="8"/>
  <c r="J12" i="8"/>
  <c r="I12" i="8"/>
  <c r="F12" i="8"/>
  <c r="G12" i="8" s="1"/>
  <c r="L12" i="8" s="1"/>
  <c r="D12" i="8"/>
  <c r="K11" i="8"/>
  <c r="I11" i="8"/>
  <c r="J11" i="8" s="1"/>
  <c r="F11" i="8"/>
  <c r="D11" i="8"/>
  <c r="K10" i="8"/>
  <c r="J10" i="8"/>
  <c r="I10" i="8"/>
  <c r="D10" i="8"/>
  <c r="L9" i="8"/>
  <c r="K9" i="8"/>
  <c r="I9" i="8"/>
  <c r="J9" i="8" s="1"/>
  <c r="F9" i="8"/>
  <c r="G9" i="8" s="1"/>
  <c r="D9" i="8"/>
  <c r="G4" i="8"/>
  <c r="E30" i="7"/>
  <c r="G30" i="7" s="1"/>
  <c r="L30" i="7" s="1"/>
  <c r="L29" i="7"/>
  <c r="G29" i="7"/>
  <c r="E29" i="7"/>
  <c r="L28" i="7"/>
  <c r="E28" i="7"/>
  <c r="G28" i="7" s="1"/>
  <c r="E27" i="7"/>
  <c r="G27" i="7" s="1"/>
  <c r="L27" i="7" s="1"/>
  <c r="E26" i="7"/>
  <c r="G26" i="7" s="1"/>
  <c r="L26" i="7" s="1"/>
  <c r="G25" i="7"/>
  <c r="L25" i="7" s="1"/>
  <c r="E25" i="7"/>
  <c r="L24" i="7"/>
  <c r="G24" i="7"/>
  <c r="E24" i="7"/>
  <c r="G23" i="7"/>
  <c r="L23" i="7" s="1"/>
  <c r="E23" i="7"/>
  <c r="K18" i="7"/>
  <c r="J18" i="7"/>
  <c r="I18" i="7"/>
  <c r="H18" i="7"/>
  <c r="E18" i="7"/>
  <c r="C18" i="7"/>
  <c r="L17" i="7"/>
  <c r="K17" i="7"/>
  <c r="J17" i="7"/>
  <c r="I17" i="7"/>
  <c r="G17" i="7"/>
  <c r="D17" i="7"/>
  <c r="F17" i="7" s="1"/>
  <c r="K16" i="7"/>
  <c r="J16" i="7"/>
  <c r="I16" i="7"/>
  <c r="F16" i="7"/>
  <c r="D16" i="7"/>
  <c r="G16" i="7" s="1"/>
  <c r="L16" i="7" s="1"/>
  <c r="K15" i="7"/>
  <c r="J15" i="7"/>
  <c r="I15" i="7"/>
  <c r="D15" i="7"/>
  <c r="K14" i="7"/>
  <c r="I14" i="7"/>
  <c r="J14" i="7" s="1"/>
  <c r="G14" i="7"/>
  <c r="L14" i="7" s="1"/>
  <c r="F14" i="7"/>
  <c r="D14" i="7"/>
  <c r="K13" i="7"/>
  <c r="J13" i="7"/>
  <c r="I13" i="7"/>
  <c r="G13" i="7"/>
  <c r="L13" i="7" s="1"/>
  <c r="F13" i="7"/>
  <c r="D13" i="7"/>
  <c r="K12" i="7"/>
  <c r="I12" i="7"/>
  <c r="J12" i="7" s="1"/>
  <c r="F12" i="7"/>
  <c r="D12" i="7"/>
  <c r="K11" i="7"/>
  <c r="J11" i="7"/>
  <c r="I11" i="7"/>
  <c r="D11" i="7"/>
  <c r="L10" i="7"/>
  <c r="K10" i="7"/>
  <c r="I10" i="7"/>
  <c r="J10" i="7" s="1"/>
  <c r="F10" i="7"/>
  <c r="G10" i="7" s="1"/>
  <c r="D10" i="7"/>
  <c r="K9" i="7"/>
  <c r="J9" i="7"/>
  <c r="I9" i="7"/>
  <c r="D9" i="7"/>
  <c r="G4" i="7"/>
  <c r="E30" i="6"/>
  <c r="G30" i="6" s="1"/>
  <c r="L30" i="6" s="1"/>
  <c r="L29" i="6"/>
  <c r="G29" i="6"/>
  <c r="E29" i="6"/>
  <c r="G28" i="6"/>
  <c r="L28" i="6" s="1"/>
  <c r="E28" i="6"/>
  <c r="E27" i="6"/>
  <c r="G27" i="6" s="1"/>
  <c r="L27" i="6" s="1"/>
  <c r="L26" i="6"/>
  <c r="G26" i="6"/>
  <c r="E26" i="6"/>
  <c r="L25" i="6"/>
  <c r="E25" i="6"/>
  <c r="G25" i="6" s="1"/>
  <c r="E24" i="6"/>
  <c r="G24" i="6" s="1"/>
  <c r="L24" i="6" s="1"/>
  <c r="E23" i="6"/>
  <c r="G23" i="6" s="1"/>
  <c r="L23" i="6" s="1"/>
  <c r="K18" i="6"/>
  <c r="I18" i="6"/>
  <c r="J18" i="6" s="1"/>
  <c r="H18" i="6"/>
  <c r="E18" i="6"/>
  <c r="C18" i="6"/>
  <c r="D9" i="2" s="1"/>
  <c r="K17" i="6"/>
  <c r="J17" i="6"/>
  <c r="I17" i="6"/>
  <c r="F17" i="6"/>
  <c r="D17" i="6"/>
  <c r="G17" i="6" s="1"/>
  <c r="L17" i="6" s="1"/>
  <c r="K16" i="6"/>
  <c r="J16" i="6"/>
  <c r="I16" i="6"/>
  <c r="D16" i="6"/>
  <c r="K15" i="6"/>
  <c r="I15" i="6"/>
  <c r="J15" i="6" s="1"/>
  <c r="G15" i="6"/>
  <c r="L15" i="6" s="1"/>
  <c r="F15" i="6"/>
  <c r="D15" i="6"/>
  <c r="K14" i="6"/>
  <c r="I14" i="6"/>
  <c r="J14" i="6" s="1"/>
  <c r="F14" i="6"/>
  <c r="G14" i="6" s="1"/>
  <c r="L14" i="6" s="1"/>
  <c r="D14" i="6"/>
  <c r="K13" i="6"/>
  <c r="I13" i="6"/>
  <c r="J13" i="6" s="1"/>
  <c r="F13" i="6"/>
  <c r="D13" i="6"/>
  <c r="K12" i="6"/>
  <c r="J12" i="6"/>
  <c r="I12" i="6"/>
  <c r="D12" i="6"/>
  <c r="K11" i="6"/>
  <c r="I11" i="6"/>
  <c r="J11" i="6" s="1"/>
  <c r="D11" i="6"/>
  <c r="F11" i="6" s="1"/>
  <c r="K10" i="6"/>
  <c r="J10" i="6"/>
  <c r="I10" i="6"/>
  <c r="G10" i="6"/>
  <c r="L10" i="6" s="1"/>
  <c r="D10" i="6"/>
  <c r="F10" i="6" s="1"/>
  <c r="K9" i="6"/>
  <c r="J9" i="6"/>
  <c r="I9" i="6"/>
  <c r="F9" i="6"/>
  <c r="D9" i="6"/>
  <c r="G9" i="6" s="1"/>
  <c r="L9" i="6" s="1"/>
  <c r="G4" i="6"/>
  <c r="L30" i="5"/>
  <c r="E30" i="5"/>
  <c r="G30" i="5" s="1"/>
  <c r="E29" i="5"/>
  <c r="G29" i="5" s="1"/>
  <c r="L29" i="5" s="1"/>
  <c r="E28" i="5"/>
  <c r="G28" i="5" s="1"/>
  <c r="L28" i="5" s="1"/>
  <c r="G27" i="5"/>
  <c r="L27" i="5" s="1"/>
  <c r="E27" i="5"/>
  <c r="L26" i="5"/>
  <c r="G26" i="5"/>
  <c r="E26" i="5"/>
  <c r="G25" i="5"/>
  <c r="L25" i="5" s="1"/>
  <c r="E25" i="5"/>
  <c r="L24" i="5"/>
  <c r="E24" i="5"/>
  <c r="G24" i="5" s="1"/>
  <c r="L23" i="5"/>
  <c r="G23" i="5"/>
  <c r="E23" i="5"/>
  <c r="K18" i="5"/>
  <c r="J18" i="5"/>
  <c r="I18" i="5"/>
  <c r="H18" i="5"/>
  <c r="E18" i="5"/>
  <c r="C18" i="5"/>
  <c r="K17" i="5"/>
  <c r="J17" i="5"/>
  <c r="I17" i="5"/>
  <c r="D17" i="5"/>
  <c r="K16" i="5"/>
  <c r="I16" i="5"/>
  <c r="J16" i="5" s="1"/>
  <c r="G16" i="5"/>
  <c r="L16" i="5" s="1"/>
  <c r="F16" i="5"/>
  <c r="D16" i="5"/>
  <c r="L15" i="5"/>
  <c r="K15" i="5"/>
  <c r="J15" i="5"/>
  <c r="I15" i="5"/>
  <c r="G15" i="5"/>
  <c r="F15" i="5"/>
  <c r="D15" i="5"/>
  <c r="K14" i="5"/>
  <c r="I14" i="5"/>
  <c r="J14" i="5" s="1"/>
  <c r="D14" i="5"/>
  <c r="F14" i="5" s="1"/>
  <c r="K13" i="5"/>
  <c r="J13" i="5"/>
  <c r="I13" i="5"/>
  <c r="D13" i="5"/>
  <c r="F13" i="5" s="1"/>
  <c r="K12" i="5"/>
  <c r="I12" i="5"/>
  <c r="J12" i="5" s="1"/>
  <c r="F12" i="5"/>
  <c r="D12" i="5"/>
  <c r="K11" i="5"/>
  <c r="J11" i="5"/>
  <c r="I11" i="5"/>
  <c r="D11" i="5"/>
  <c r="F11" i="5" s="1"/>
  <c r="K10" i="5"/>
  <c r="J10" i="5"/>
  <c r="I10" i="5"/>
  <c r="F10" i="5"/>
  <c r="D10" i="5"/>
  <c r="G10" i="5" s="1"/>
  <c r="L10" i="5" s="1"/>
  <c r="K9" i="5"/>
  <c r="J9" i="5"/>
  <c r="I9" i="5"/>
  <c r="D9" i="5"/>
  <c r="G4" i="5"/>
  <c r="E30" i="3"/>
  <c r="G30" i="3" s="1"/>
  <c r="L30" i="3" s="1"/>
  <c r="L29" i="3"/>
  <c r="E29" i="3"/>
  <c r="G29" i="3" s="1"/>
  <c r="L28" i="3"/>
  <c r="G28" i="3"/>
  <c r="E28" i="3"/>
  <c r="E27" i="3"/>
  <c r="G27" i="3" s="1"/>
  <c r="L27" i="3" s="1"/>
  <c r="G26" i="3"/>
  <c r="L26" i="3" s="1"/>
  <c r="E26" i="3"/>
  <c r="E25" i="3"/>
  <c r="G25" i="3" s="1"/>
  <c r="L25" i="3" s="1"/>
  <c r="G24" i="3"/>
  <c r="L24" i="3" s="1"/>
  <c r="E24" i="3"/>
  <c r="G23" i="3"/>
  <c r="L23" i="3" s="1"/>
  <c r="E23" i="3"/>
  <c r="K18" i="3"/>
  <c r="H18" i="3"/>
  <c r="E18" i="3"/>
  <c r="I18" i="3" s="1"/>
  <c r="C18" i="3"/>
  <c r="D6" i="2" s="1"/>
  <c r="K17" i="3"/>
  <c r="I17" i="3"/>
  <c r="J17" i="3" s="1"/>
  <c r="D17" i="3"/>
  <c r="F17" i="3" s="1"/>
  <c r="G17" i="3" s="1"/>
  <c r="K16" i="3"/>
  <c r="J16" i="3"/>
  <c r="I16" i="3"/>
  <c r="G16" i="3"/>
  <c r="F16" i="3"/>
  <c r="D16" i="3"/>
  <c r="K15" i="3"/>
  <c r="I15" i="3"/>
  <c r="J15" i="3" s="1"/>
  <c r="F15" i="3"/>
  <c r="D15" i="3"/>
  <c r="K14" i="3"/>
  <c r="I14" i="3"/>
  <c r="J14" i="3" s="1"/>
  <c r="G14" i="3"/>
  <c r="D14" i="3"/>
  <c r="F14" i="3" s="1"/>
  <c r="K13" i="3"/>
  <c r="I13" i="3"/>
  <c r="J13" i="3" s="1"/>
  <c r="G13" i="3"/>
  <c r="F13" i="3"/>
  <c r="D13" i="3"/>
  <c r="K12" i="3"/>
  <c r="J12" i="3"/>
  <c r="I12" i="3"/>
  <c r="G12" i="3"/>
  <c r="F12" i="3"/>
  <c r="D12" i="3"/>
  <c r="K11" i="3"/>
  <c r="J11" i="3"/>
  <c r="I11" i="3"/>
  <c r="D11" i="3"/>
  <c r="F11" i="3" s="1"/>
  <c r="K10" i="3"/>
  <c r="I10" i="3"/>
  <c r="J10" i="3" s="1"/>
  <c r="D10" i="3"/>
  <c r="K9" i="3"/>
  <c r="I9" i="3"/>
  <c r="J9" i="3" s="1"/>
  <c r="F9" i="3"/>
  <c r="G9" i="3" s="1"/>
  <c r="D9" i="3"/>
  <c r="G4" i="3"/>
  <c r="F16" i="2"/>
  <c r="E15" i="2"/>
  <c r="D15" i="2"/>
  <c r="C15" i="2"/>
  <c r="E14" i="2"/>
  <c r="D14" i="2"/>
  <c r="C14" i="2"/>
  <c r="E13" i="2"/>
  <c r="D13" i="2"/>
  <c r="C13" i="2"/>
  <c r="E12" i="2"/>
  <c r="C12" i="2"/>
  <c r="E11" i="2"/>
  <c r="C11" i="2"/>
  <c r="E10" i="2"/>
  <c r="D10" i="2"/>
  <c r="C10" i="2"/>
  <c r="E9" i="2"/>
  <c r="C9" i="2"/>
  <c r="E8" i="2"/>
  <c r="D8" i="2"/>
  <c r="C8" i="2"/>
  <c r="C7" i="2"/>
  <c r="C6" i="2"/>
  <c r="E30" i="4"/>
  <c r="G30" i="4" s="1"/>
  <c r="L30" i="4" s="1"/>
  <c r="E29" i="4"/>
  <c r="G29" i="4" s="1"/>
  <c r="L29" i="4" s="1"/>
  <c r="E28" i="4"/>
  <c r="G28" i="4" s="1"/>
  <c r="L28" i="4" s="1"/>
  <c r="E27" i="4"/>
  <c r="G27" i="4" s="1"/>
  <c r="L27" i="4" s="1"/>
  <c r="G26" i="4"/>
  <c r="L26" i="4" s="1"/>
  <c r="E26" i="4"/>
  <c r="E25" i="4"/>
  <c r="G25" i="4" s="1"/>
  <c r="L25" i="4" s="1"/>
  <c r="E24" i="4"/>
  <c r="G24" i="4" s="1"/>
  <c r="L24" i="4" s="1"/>
  <c r="E23" i="4"/>
  <c r="G23" i="4" s="1"/>
  <c r="L23" i="4" s="1"/>
  <c r="E35" i="4" s="1"/>
  <c r="E36" i="4" s="1"/>
  <c r="K18" i="4"/>
  <c r="H18" i="4"/>
  <c r="E18" i="4"/>
  <c r="E7" i="2" s="1"/>
  <c r="C18" i="4"/>
  <c r="D7" i="2" s="1"/>
  <c r="K17" i="4"/>
  <c r="J17" i="4"/>
  <c r="I17" i="4"/>
  <c r="G17" i="4"/>
  <c r="L17" i="4" s="1"/>
  <c r="F17" i="4"/>
  <c r="D17" i="4"/>
  <c r="K16" i="4"/>
  <c r="I16" i="4"/>
  <c r="J16" i="4" s="1"/>
  <c r="D16" i="4"/>
  <c r="F16" i="4" s="1"/>
  <c r="K15" i="4"/>
  <c r="J15" i="4"/>
  <c r="I15" i="4"/>
  <c r="F15" i="4"/>
  <c r="D15" i="4"/>
  <c r="G15" i="4" s="1"/>
  <c r="L15" i="4" s="1"/>
  <c r="K14" i="4"/>
  <c r="I14" i="4"/>
  <c r="J14" i="4" s="1"/>
  <c r="D14" i="4"/>
  <c r="F14" i="4" s="1"/>
  <c r="K13" i="4"/>
  <c r="J13" i="4"/>
  <c r="I13" i="4"/>
  <c r="D13" i="4"/>
  <c r="F13" i="4" s="1"/>
  <c r="K12" i="4"/>
  <c r="I12" i="4"/>
  <c r="J12" i="4" s="1"/>
  <c r="D12" i="4"/>
  <c r="F12" i="4" s="1"/>
  <c r="K11" i="4"/>
  <c r="I11" i="4"/>
  <c r="J11" i="4" s="1"/>
  <c r="D11" i="4"/>
  <c r="F11" i="4" s="1"/>
  <c r="K10" i="4"/>
  <c r="J10" i="4"/>
  <c r="I10" i="4"/>
  <c r="D10" i="4"/>
  <c r="F10" i="4" s="1"/>
  <c r="G10" i="4" s="1"/>
  <c r="L10" i="4" s="1"/>
  <c r="K9" i="4"/>
  <c r="J9" i="4"/>
  <c r="I9" i="4"/>
  <c r="D9" i="4"/>
  <c r="G4" i="4"/>
  <c r="J35" i="4" l="1"/>
  <c r="I7" i="2" s="1"/>
  <c r="G13" i="4"/>
  <c r="L13" i="4" s="1"/>
  <c r="E6" i="2"/>
  <c r="J35" i="5"/>
  <c r="I8" i="2" s="1"/>
  <c r="J35" i="3"/>
  <c r="I6" i="2" s="1"/>
  <c r="E35" i="3"/>
  <c r="H6" i="2" s="1"/>
  <c r="G17" i="5"/>
  <c r="L17" i="5" s="1"/>
  <c r="F17" i="5"/>
  <c r="G16" i="4"/>
  <c r="L16" i="4" s="1"/>
  <c r="I18" i="4"/>
  <c r="J18" i="4" s="1"/>
  <c r="F10" i="3"/>
  <c r="G10" i="3" s="1"/>
  <c r="J34" i="3" s="1"/>
  <c r="F9" i="4"/>
  <c r="G9" i="4" s="1"/>
  <c r="L9" i="4" s="1"/>
  <c r="J34" i="4" s="1"/>
  <c r="G14" i="4"/>
  <c r="L14" i="4" s="1"/>
  <c r="J18" i="3"/>
  <c r="G13" i="6"/>
  <c r="L13" i="6" s="1"/>
  <c r="D18" i="7"/>
  <c r="D18" i="8"/>
  <c r="F14" i="8"/>
  <c r="G14" i="8" s="1"/>
  <c r="L14" i="8" s="1"/>
  <c r="G13" i="10"/>
  <c r="L13" i="10" s="1"/>
  <c r="F15" i="11"/>
  <c r="G15" i="11" s="1"/>
  <c r="L15" i="11" s="1"/>
  <c r="G14" i="12"/>
  <c r="L14" i="12" s="1"/>
  <c r="F14" i="12"/>
  <c r="G12" i="4"/>
  <c r="L12" i="4" s="1"/>
  <c r="D18" i="4"/>
  <c r="G15" i="3"/>
  <c r="G9" i="5"/>
  <c r="L9" i="5" s="1"/>
  <c r="F9" i="5"/>
  <c r="G12" i="5"/>
  <c r="L12" i="5" s="1"/>
  <c r="D18" i="5"/>
  <c r="G11" i="8"/>
  <c r="L11" i="8" s="1"/>
  <c r="E35" i="5"/>
  <c r="H8" i="2" s="1"/>
  <c r="J35" i="8"/>
  <c r="I11" i="2" s="1"/>
  <c r="G9" i="9"/>
  <c r="L9" i="9" s="1"/>
  <c r="F9" i="9"/>
  <c r="G14" i="9"/>
  <c r="L14" i="9" s="1"/>
  <c r="G17" i="9"/>
  <c r="L17" i="9" s="1"/>
  <c r="F17" i="9"/>
  <c r="G17" i="10"/>
  <c r="L17" i="10" s="1"/>
  <c r="D16" i="2"/>
  <c r="E35" i="10"/>
  <c r="H13" i="2" s="1"/>
  <c r="J35" i="10"/>
  <c r="I13" i="2" s="1"/>
  <c r="G11" i="4"/>
  <c r="L11" i="4" s="1"/>
  <c r="G11" i="5"/>
  <c r="L11" i="5" s="1"/>
  <c r="G12" i="6"/>
  <c r="L12" i="6" s="1"/>
  <c r="F12" i="6"/>
  <c r="G15" i="8"/>
  <c r="L15" i="8" s="1"/>
  <c r="G12" i="10"/>
  <c r="L12" i="10" s="1"/>
  <c r="F12" i="10"/>
  <c r="G18" i="11"/>
  <c r="G16" i="11"/>
  <c r="L16" i="11" s="1"/>
  <c r="G15" i="12"/>
  <c r="L15" i="12" s="1"/>
  <c r="E16" i="2"/>
  <c r="G14" i="5"/>
  <c r="L14" i="5" s="1"/>
  <c r="E35" i="9"/>
  <c r="H12" i="2" s="1"/>
  <c r="F18" i="4"/>
  <c r="G11" i="3"/>
  <c r="F11" i="7"/>
  <c r="G11" i="7" s="1"/>
  <c r="L11" i="7" s="1"/>
  <c r="H7" i="2"/>
  <c r="J35" i="7"/>
  <c r="I10" i="2" s="1"/>
  <c r="E35" i="7"/>
  <c r="H10" i="2" s="1"/>
  <c r="G13" i="9"/>
  <c r="L13" i="9" s="1"/>
  <c r="F13" i="9"/>
  <c r="J18" i="9"/>
  <c r="D12" i="2"/>
  <c r="F16" i="10"/>
  <c r="G16" i="10" s="1"/>
  <c r="L16" i="10" s="1"/>
  <c r="G11" i="11"/>
  <c r="L11" i="11" s="1"/>
  <c r="F11" i="11"/>
  <c r="J35" i="11"/>
  <c r="I14" i="2" s="1"/>
  <c r="E35" i="11"/>
  <c r="H14" i="2" s="1"/>
  <c r="E35" i="6"/>
  <c r="H9" i="2" s="1"/>
  <c r="J35" i="6"/>
  <c r="I9" i="2" s="1"/>
  <c r="F10" i="8"/>
  <c r="G10" i="8" s="1"/>
  <c r="L10" i="8" s="1"/>
  <c r="D18" i="3"/>
  <c r="G13" i="5"/>
  <c r="L13" i="5" s="1"/>
  <c r="F16" i="6"/>
  <c r="G16" i="6" s="1"/>
  <c r="L16" i="6" s="1"/>
  <c r="G12" i="7"/>
  <c r="L12" i="7" s="1"/>
  <c r="F15" i="7"/>
  <c r="G15" i="7" s="1"/>
  <c r="L15" i="7" s="1"/>
  <c r="J18" i="8"/>
  <c r="F10" i="9"/>
  <c r="G10" i="9" s="1"/>
  <c r="L10" i="9" s="1"/>
  <c r="D18" i="9"/>
  <c r="J35" i="12"/>
  <c r="I15" i="2" s="1"/>
  <c r="G11" i="6"/>
  <c r="L11" i="6" s="1"/>
  <c r="D18" i="6"/>
  <c r="F9" i="7"/>
  <c r="G9" i="7" s="1"/>
  <c r="L9" i="7" s="1"/>
  <c r="F18" i="8"/>
  <c r="G13" i="12"/>
  <c r="L13" i="12" s="1"/>
  <c r="F10" i="12"/>
  <c r="G10" i="12" s="1"/>
  <c r="L10" i="12" s="1"/>
  <c r="J34" i="12" s="1"/>
  <c r="D18" i="12"/>
  <c r="D18" i="10"/>
  <c r="F18" i="10" s="1"/>
  <c r="E35" i="12"/>
  <c r="H15" i="2" s="1"/>
  <c r="G20" i="2" l="1"/>
  <c r="J34" i="6"/>
  <c r="J34" i="8"/>
  <c r="J34" i="10"/>
  <c r="F18" i="5"/>
  <c r="G18" i="5"/>
  <c r="G18" i="7"/>
  <c r="F18" i="7"/>
  <c r="J34" i="11"/>
  <c r="F18" i="12"/>
  <c r="G18" i="12"/>
  <c r="G18" i="4"/>
  <c r="G18" i="10"/>
  <c r="F18" i="9"/>
  <c r="G18" i="9"/>
  <c r="L18" i="11"/>
  <c r="E34" i="11" s="1"/>
  <c r="F14" i="2"/>
  <c r="F18" i="3"/>
  <c r="G18" i="3"/>
  <c r="J34" i="9"/>
  <c r="J34" i="5"/>
  <c r="J34" i="7"/>
  <c r="G18" i="6"/>
  <c r="F18" i="6"/>
  <c r="G18" i="8"/>
  <c r="G14" i="2" l="1"/>
  <c r="E36" i="11"/>
  <c r="J14" i="2" s="1"/>
  <c r="L18" i="6"/>
  <c r="E34" i="6" s="1"/>
  <c r="F9" i="2"/>
  <c r="L18" i="9"/>
  <c r="E34" i="9" s="1"/>
  <c r="F12" i="2"/>
  <c r="L18" i="7"/>
  <c r="E34" i="7" s="1"/>
  <c r="F10" i="2"/>
  <c r="L18" i="5"/>
  <c r="E34" i="5" s="1"/>
  <c r="F8" i="2"/>
  <c r="L18" i="10"/>
  <c r="E34" i="10" s="1"/>
  <c r="F13" i="2"/>
  <c r="L18" i="8"/>
  <c r="E34" i="8" s="1"/>
  <c r="F11" i="2"/>
  <c r="F7" i="2"/>
  <c r="L18" i="4"/>
  <c r="E34" i="4" s="1"/>
  <c r="E34" i="3"/>
  <c r="F6" i="2"/>
  <c r="L18" i="12"/>
  <c r="E34" i="12" s="1"/>
  <c r="F15" i="2"/>
  <c r="G7" i="2" l="1"/>
  <c r="J7" i="2"/>
  <c r="G10" i="2"/>
  <c r="E36" i="7"/>
  <c r="J10" i="2" s="1"/>
  <c r="G11" i="2"/>
  <c r="E36" i="8"/>
  <c r="J11" i="2" s="1"/>
  <c r="G12" i="2"/>
  <c r="E36" i="9"/>
  <c r="J12" i="2" s="1"/>
  <c r="E36" i="12"/>
  <c r="J15" i="2" s="1"/>
  <c r="G15" i="2"/>
  <c r="G13" i="2"/>
  <c r="E36" i="10"/>
  <c r="J13" i="2" s="1"/>
  <c r="G9" i="2"/>
  <c r="E36" i="6"/>
  <c r="J9" i="2" s="1"/>
  <c r="G6" i="2"/>
  <c r="E36" i="3"/>
  <c r="J6" i="2" s="1"/>
  <c r="E36" i="5"/>
  <c r="J8" i="2" s="1"/>
  <c r="G8" i="2"/>
  <c r="G19" i="2" l="1"/>
  <c r="D20" i="2"/>
  <c r="D19" i="2"/>
</calcChain>
</file>

<file path=xl/sharedStrings.xml><?xml version="1.0" encoding="utf-8"?>
<sst xmlns="http://schemas.openxmlformats.org/spreadsheetml/2006/main" count="708" uniqueCount="131">
  <si>
    <t>CHAK Monthly Project Performance Monitoring Template</t>
  </si>
  <si>
    <t>Financial performance (burn rate &amp; Budget vs. Actual) combined with technical/donor indicator performance — across all 10 CHAK project portfolios: Jamii Tekelezi, CHAP Stawisha, Eye Health - ACSP &amp; GitLab, EIS, BFTW HSS, BFTW RMNCAH, PEP, GF-MNCH, IMPACT and CDIC-iCARE.</t>
  </si>
  <si>
    <t>HOW TO USE THIS WORKBOOK</t>
  </si>
  <si>
    <t>1. Each of the 10 project tabs has the same structure: project header (donor, project code, reporting month/period, duration, months elapsed), Section A — Financial Performance (9 budget lines + a Total Project Budget row), Section B — Technical/Donor Indicator Performance (8 indicators), and Section C — Overall Project Health (Financial RAG, Technical RAG, and a combined Overall RAG).</t>
  </si>
  <si>
    <t>2. Enter blue-font cells only — these are inputs (annual budget per line, project duration, months elapsed, actual cumulative expenditure, current-month spend, annual target per indicator, actual cumulative result). Black-font cells are formulas — do not overtype them. Green-font cells link from another tab (Portfolio Dashboard only).</t>
  </si>
  <si>
    <t>3. "Months Elapsed" and "Project Duration (months)" drive the linear planned (expected) cumulative budget and target for every budget line and indicator — adjust the planned-progress formula if a project's spend or target profile is not even/straight-line across the year.</t>
  </si>
  <si>
    <t>4. RAG status is automatic. Financial: variance within ±10% of planned cumulative spend = On Track, ±10-20% = Watch, beyond ±20% = Off Track (both over- and under-spend are flagged, since underspend signals an absorption/refund risk). Technical: achievement ≥90% of planned cumulative target = On Track, 75-89% = Watch, below 75% = Off Track. Section C combines both: Financial RAG (from the Total Project Budget row), Technical RAG (the worst rating among the 8 indicators), and Overall Project Health (the worst of the two).</t>
  </si>
  <si>
    <t>5. The Portfolio Dashboard tab pulls live figures from all 10 project tabs — including each project's Financial RAG, Technical RAG, indicators-off-track count and Overall RAG — and rolls them up into a CEO Snapshot (counts of On Track / Watch / Off Track projects and overall budget utilisation). Refresh it after updating any project tab; no manual entry is needed there.</t>
  </si>
  <si>
    <t>6. Update this workbook once a month, after the reporting month closes, using actual cumulative expenditure and indicator results from finance and M&amp;E records for each project.</t>
  </si>
  <si>
    <t>7. Indicator names, donor names and project codes shown are illustrative placeholders — replace them with each project's specific donor M&amp;E framework indicators, definitions, reporting frequency, and contractual donor/code details where they differ.</t>
  </si>
  <si>
    <t>COLOR KEY</t>
  </si>
  <si>
    <t>Blue text</t>
  </si>
  <si>
    <t>Input cell — edit this</t>
  </si>
  <si>
    <t>Black text</t>
  </si>
  <si>
    <t>Formula — do not edit</t>
  </si>
  <si>
    <t>Green text</t>
  </si>
  <si>
    <t>Link pulling from another tab</t>
  </si>
  <si>
    <t>On Track</t>
  </si>
  <si>
    <t>Watch</t>
  </si>
  <si>
    <t>Off Track</t>
  </si>
  <si>
    <t>CHAK Project Portfolio — Monthly Health Dashboard</t>
  </si>
  <si>
    <t>Auto-populated from each project tab — refresh after updating any project's monthly data.</t>
  </si>
  <si>
    <t>Project</t>
  </si>
  <si>
    <t>Donor</t>
  </si>
  <si>
    <t>Total Annual
Budget</t>
  </si>
  <si>
    <t>Cumulative
Expenditure</t>
  </si>
  <si>
    <t>Budget Variance
(%)</t>
  </si>
  <si>
    <t>Financial RAG</t>
  </si>
  <si>
    <t>Technical RAG</t>
  </si>
  <si>
    <t>Indicators
Off Track</t>
  </si>
  <si>
    <t>Overall RAG</t>
  </si>
  <si>
    <t>Jamii Tekelezi</t>
  </si>
  <si>
    <t>CHAP Stawisha</t>
  </si>
  <si>
    <t>Eye Health - ACSP &amp; GitLab</t>
  </si>
  <si>
    <t>EIS</t>
  </si>
  <si>
    <t>BFTW HSS</t>
  </si>
  <si>
    <t>BFTW RMNCAH</t>
  </si>
  <si>
    <t>PEP</t>
  </si>
  <si>
    <t>GF-MNCH</t>
  </si>
  <si>
    <t>IMPACT</t>
  </si>
  <si>
    <t>CDIC-iCARE</t>
  </si>
  <si>
    <t>PORTFOLIO TOTAL</t>
  </si>
  <si>
    <t>CEO SNAPSHOT — PORTFOLIO STATUS AT A GLANCE</t>
  </si>
  <si>
    <t>Projects On Track (Overall RAG):</t>
  </si>
  <si>
    <t>Projects on Watch:</t>
  </si>
  <si>
    <t>Projects Off Track (Overall RAG):</t>
  </si>
  <si>
    <t>Portfolio Budget Utilisation:</t>
  </si>
  <si>
    <t>RAG LEGEND: On Track = within tolerance · Watch = approaching threshold, needs attention · Off Track = requires corrective action</t>
  </si>
  <si>
    <t>Jamii Tekelezi Monthly Performance Monitoring</t>
  </si>
  <si>
    <t>Donor:</t>
  </si>
  <si>
    <t>Reporting Month:</t>
  </si>
  <si>
    <t>Project Duration (months):</t>
  </si>
  <si>
    <t>Project Code:</t>
  </si>
  <si>
    <t>CHAK/2026/01</t>
  </si>
  <si>
    <t>Reporting Period:</t>
  </si>
  <si>
    <t>Type reporting period here...</t>
  </si>
  <si>
    <t>Months Elapsed to Date:</t>
  </si>
  <si>
    <t>SECTION A · FINANCIAL PERFORMANCE — BURN RATE &amp; BUDGET VS. ACTUAL (BVA)</t>
  </si>
  <si>
    <t>Budget Line</t>
  </si>
  <si>
    <t>Annual Budget</t>
  </si>
  <si>
    <t>Planned Cumulative
Budget to Date</t>
  </si>
  <si>
    <t>Actual Cumulative
Expenditure to Date</t>
  </si>
  <si>
    <t>Variance ($)</t>
  </si>
  <si>
    <t>Variance (%)</t>
  </si>
  <si>
    <t>Current Month
Expenditure</t>
  </si>
  <si>
    <t>Avg. Monthly
Burn Rate</t>
  </si>
  <si>
    <t>Projected Annual
Expenditure</t>
  </si>
  <si>
    <t>Months
Remaining</t>
  </si>
  <si>
    <t>RAG</t>
  </si>
  <si>
    <t>Personnel &amp; HR</t>
  </si>
  <si>
    <t>Technical / Program Activities</t>
  </si>
  <si>
    <t>Equipment, Supplies &amp; Commodities</t>
  </si>
  <si>
    <t>Training &amp; Capacity Building</t>
  </si>
  <si>
    <t>Sub-awards / Partner Disbursements</t>
  </si>
  <si>
    <t>Monitoring, Evaluation &amp; Learning</t>
  </si>
  <si>
    <t>Travel &amp; Transport</t>
  </si>
  <si>
    <t>Administration &amp; Overheads</t>
  </si>
  <si>
    <t>Other Direct Costs / Contingency</t>
  </si>
  <si>
    <t>TOTAL PROJECT BUDGET</t>
  </si>
  <si>
    <t>Planned cumulative budget assumes even (straight-line) spend across the project duration. Variance &gt;20% in either direction triggers Off Track — overspend risks a funding gap; underspend risks an end-of-award absorption/refund issue.</t>
  </si>
  <si>
    <t>SECTION B · TECHNICAL / DONOR INDICATOR PERFORMANCE</t>
  </si>
  <si>
    <t>Indicator</t>
  </si>
  <si>
    <t>Unit / Definition</t>
  </si>
  <si>
    <t>Annual Target</t>
  </si>
  <si>
    <t>Planned Cumulative
Target to Date</t>
  </si>
  <si>
    <t>Actual Cumulative
Result to Date</t>
  </si>
  <si>
    <t>Achievement
(%)</t>
  </si>
  <si>
    <t>Tracer Indicator 1</t>
  </si>
  <si>
    <t>Define per donor M&amp;E framework</t>
  </si>
  <si>
    <t>Tracer Indicator 2</t>
  </si>
  <si>
    <t>Tracer Indicator 3</t>
  </si>
  <si>
    <t>Tracer Indicator 4</t>
  </si>
  <si>
    <t>Tracer Indicator 5</t>
  </si>
  <si>
    <t>Tracer Indicator 6</t>
  </si>
  <si>
    <t>Tracer Indicator 7</t>
  </si>
  <si>
    <t>Tracer Indicator 8</t>
  </si>
  <si>
    <t>Indicator names are standard/illustrative donor indicators for this project type — replace with your specific donor's exact indicator list, definitions and reporting frequency where they differ.</t>
  </si>
  <si>
    <t>SECTION C · OVERALL PROJECT HEALTH</t>
  </si>
  <si>
    <t>Financial RAG (Total Budget):</t>
  </si>
  <si>
    <t>Off-Track Budget Lines:</t>
  </si>
  <si>
    <t>Technical RAG (Indicator Performance):</t>
  </si>
  <si>
    <t>Off-Track Indicators:</t>
  </si>
  <si>
    <t>OVERALL PROJECT HEALTH:</t>
  </si>
  <si>
    <t>Programme Manager's Narrative — key achievements, bottlenecks, and corrective actions this month:</t>
  </si>
  <si>
    <t>Type narrative here...</t>
  </si>
  <si>
    <t>CHAP Stawisha Monthly Performance Monitoring</t>
  </si>
  <si>
    <t>CHAK/2026/02</t>
  </si>
  <si>
    <t>Eye Health (ACSP &amp; GitLab Foundation) Monthly Performance Monitoring</t>
  </si>
  <si>
    <t>ACHAP / GitLab Foundation</t>
  </si>
  <si>
    <t>CHAK/2026/03</t>
  </si>
  <si>
    <t>Evaluation of Integrated Services (EIS) Monthly Performance Monitoring</t>
  </si>
  <si>
    <t>Bill &amp; Melinda Gates Foundation</t>
  </si>
  <si>
    <t>CHAK/2026/04</t>
  </si>
  <si>
    <t>BFTW - HSS Monthly Performance Monitoring</t>
  </si>
  <si>
    <t>Bread for the World</t>
  </si>
  <si>
    <t>CHAK/2026/05</t>
  </si>
  <si>
    <t>BFTW - RMNCAH Monthly Performance Monitoring</t>
  </si>
  <si>
    <t>CHAK/2026/06</t>
  </si>
  <si>
    <t>Partnership for Education of Health Professionals (PEP) Monthly Performance Monitoring</t>
  </si>
  <si>
    <t>Novo Nordisk Foundation (NNF)</t>
  </si>
  <si>
    <t>CHAK/2026/07</t>
  </si>
  <si>
    <t>Gates Foundation MNCH Project Monthly Performance Monitoring</t>
  </si>
  <si>
    <t>CHAK/2026/08</t>
  </si>
  <si>
    <t>IMPACT Project Monthly Performance Monitoring</t>
  </si>
  <si>
    <t>action medeor</t>
  </si>
  <si>
    <t>CHAK/2026/09</t>
  </si>
  <si>
    <t>CDIC / iCARE Program Monthly Performance Monitoring</t>
  </si>
  <si>
    <t>CDC / iCARE</t>
  </si>
  <si>
    <t>CHAK/2026/10</t>
  </si>
  <si>
    <t>US - DOS</t>
  </si>
  <si>
    <t>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</si>
</sst>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;&quot;($&quot;#,##0\);\-"/>
    <numFmt numFmtId="165" formatCode="0.0%;\(0.0%\);\-"/>
    <numFmt numFmtId="166" formatCode="mmm\-yyyy"/>
    <numFmt numFmtId="167" formatCode="0%;\(0%\);\-"/>
    <numFmt numFmtId="168" formatCode="#,##0;\(#,##0\);\-"/>
  </numFmts>
  <fonts count="25" x14ac:knownFonts="1">
    <font>
      <sz val="11"/>
      <color theme="1"/>
      <name val="Calibri"/>
      <family val="2"/>
      <charset val="1"/>
    </font>
    <font>
      <b/>
      <sz val="20"/>
      <color rgb="FF1E2761"/>
      <name val="Arial"/>
      <family val="2"/>
      <charset val="1"/>
    </font>
    <font>
      <i/>
      <sz val="12"/>
      <color rgb="FF5B6472"/>
      <name val="Arial"/>
      <family val="2"/>
      <charset val="1"/>
    </font>
    <font>
      <b/>
      <sz val="12"/>
      <color rgb="FF1E2761"/>
      <name val="Arial"/>
      <family val="2"/>
      <charset val="1"/>
    </font>
    <font>
      <b/>
      <sz val="10"/>
      <color rgb="FF1F4E99"/>
      <name val="Arial"/>
      <family val="2"/>
      <charset val="1"/>
    </font>
    <font>
      <sz val="10"/>
      <color rgb="FF222222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10"/>
      <color rgb="FF1E8449"/>
      <name val="Arial"/>
      <family val="2"/>
      <charset val="1"/>
    </font>
    <font>
      <b/>
      <sz val="10"/>
      <color rgb="FFB7791F"/>
      <name val="Arial"/>
      <family val="2"/>
      <charset val="1"/>
    </font>
    <font>
      <b/>
      <sz val="10"/>
      <color rgb="FFC0392B"/>
      <name val="Arial"/>
      <family val="2"/>
      <charset val="1"/>
    </font>
    <font>
      <b/>
      <sz val="16"/>
      <color rgb="FFFFFFFF"/>
      <name val="Arial"/>
      <family val="2"/>
      <charset val="1"/>
    </font>
    <font>
      <i/>
      <sz val="10"/>
      <color rgb="FF5B6472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0.5"/>
      <color rgb="FF000000"/>
      <name val="Arial"/>
      <family val="2"/>
      <charset val="1"/>
    </font>
    <font>
      <sz val="10"/>
      <color rgb="FF1E8449"/>
      <name val="Arial"/>
      <family val="2"/>
      <charset val="1"/>
    </font>
    <font>
      <i/>
      <sz val="9.5"/>
      <color rgb="FF5B6472"/>
      <name val="Arial"/>
      <family val="2"/>
      <charset val="1"/>
    </font>
    <font>
      <b/>
      <sz val="15"/>
      <color rgb="FFFFFFFF"/>
      <name val="Arial"/>
      <family val="2"/>
      <charset val="1"/>
    </font>
    <font>
      <sz val="10"/>
      <color rgb="FF1F4E99"/>
      <name val="Arial"/>
      <family val="2"/>
      <charset val="1"/>
    </font>
    <font>
      <b/>
      <sz val="11.5"/>
      <color rgb="FFFFFFFF"/>
      <name val="Arial"/>
      <family val="2"/>
      <charset val="1"/>
    </font>
    <font>
      <sz val="10"/>
      <color rgb="FF000000"/>
      <name val="Arial"/>
      <family val="2"/>
      <charset val="1"/>
    </font>
    <font>
      <i/>
      <sz val="9"/>
      <color rgb="FF5B6472"/>
      <name val="Arial"/>
      <family val="2"/>
      <charset val="1"/>
    </font>
    <font>
      <b/>
      <sz val="12"/>
      <color rgb="FF000000"/>
      <name val="Arial"/>
      <family val="2"/>
      <charset val="1"/>
    </font>
    <font>
      <b/>
      <sz val="13"/>
      <name val="Arial"/>
      <family val="2"/>
      <charset val="1"/>
    </font>
    <font>
      <b/>
      <sz val="16"/>
      <color rgb="FF1E2761"/>
      <name val="Gill Sans MT"/>
      <family val="2"/>
    </font>
    <font>
      <sz val="16"/>
      <color rgb="FF222222"/>
      <name val="Gill Sans MT"/>
      <family val="2"/>
    </font>
  </fonts>
  <fills count="9">
    <fill>
      <patternFill patternType="none"/>
    </fill>
    <fill>
      <patternFill patternType="gray125"/>
    </fill>
    <fill>
      <patternFill patternType="solid">
        <fgColor rgb="FFD4EFDF"/>
        <bgColor rgb="FFEEF1FB"/>
      </patternFill>
    </fill>
    <fill>
      <patternFill patternType="solid">
        <fgColor rgb="FFFCEFCB"/>
        <bgColor rgb="FFF2F2F2"/>
      </patternFill>
    </fill>
    <fill>
      <patternFill patternType="solid">
        <fgColor rgb="FFFADBD8"/>
        <bgColor rgb="FFFCEFCB"/>
      </patternFill>
    </fill>
    <fill>
      <patternFill patternType="solid">
        <fgColor rgb="FF1E2761"/>
        <bgColor rgb="FF222222"/>
      </patternFill>
    </fill>
    <fill>
      <patternFill patternType="solid">
        <fgColor rgb="FFEEF1FB"/>
        <bgColor rgb="FFF2F2F2"/>
      </patternFill>
    </fill>
    <fill>
      <patternFill patternType="solid">
        <fgColor rgb="FF0F766E"/>
        <bgColor rgb="FF008080"/>
      </patternFill>
    </fill>
    <fill>
      <patternFill patternType="solid">
        <fgColor rgb="FF5B6472"/>
        <bgColor rgb="FF808080"/>
      </patternFill>
    </fill>
  </fills>
  <borders count="3">
    <border>
      <left/>
      <right/>
      <top/>
      <bottom/>
      <diagonal/>
    </border>
    <border>
      <left style="thin">
        <color rgb="FFB9C2CE"/>
      </left>
      <right style="thin">
        <color rgb="FFB9C2CE"/>
      </right>
      <top style="thin">
        <color rgb="FFB9C2CE"/>
      </top>
      <bottom style="thin">
        <color rgb="FFB9C2CE"/>
      </bottom>
      <diagonal/>
    </border>
    <border>
      <left style="thin">
        <color rgb="FFB9C2CE"/>
      </left>
      <right/>
      <top style="thin">
        <color rgb="FFB9C2CE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0" borderId="0" xfId="0" applyFont="1" applyAlignment="1">
      <alignment wrapText="1"/>
    </xf>
    <xf numFmtId="0" fontId="1" fillId="0" borderId="0" xfId="0" applyFont="1" applyAlignment="1">
      <alignment vertical="center"/>
    </xf>
    <xf numFmtId="0" fontId="11" fillId="0" borderId="2" xfId="0" applyFont="1" applyBorder="1" applyAlignment="1">
      <alignment vertical="top" wrapText="1"/>
    </xf>
    <xf numFmtId="0" fontId="21" fillId="0" borderId="0" xfId="0" applyFont="1"/>
    <xf numFmtId="0" fontId="6" fillId="0" borderId="1" xfId="0" applyFont="1" applyBorder="1" applyAlignment="1">
      <alignment horizontal="center"/>
    </xf>
    <xf numFmtId="0" fontId="18" fillId="8" borderId="0" xfId="0" applyFont="1" applyFill="1"/>
    <xf numFmtId="167" fontId="19" fillId="0" borderId="1" xfId="0" applyNumberFormat="1" applyFont="1" applyBorder="1"/>
    <xf numFmtId="0" fontId="18" fillId="7" borderId="0" xfId="0" applyFont="1" applyFill="1"/>
    <xf numFmtId="0" fontId="20" fillId="0" borderId="0" xfId="0" applyFont="1"/>
    <xf numFmtId="0" fontId="18" fillId="5" borderId="0" xfId="0" applyFont="1" applyFill="1"/>
    <xf numFmtId="0" fontId="6" fillId="0" borderId="0" xfId="0" applyFont="1"/>
    <xf numFmtId="0" fontId="16" fillId="7" borderId="0" xfId="0" applyFont="1" applyFill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7" fillId="2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12" fillId="5" borderId="1" xfId="0" applyFont="1" applyFill="1" applyBorder="1" applyAlignment="1">
      <alignment horizontal="center" vertical="center" wrapText="1"/>
    </xf>
    <xf numFmtId="0" fontId="13" fillId="0" borderId="1" xfId="0" applyFont="1" applyBorder="1"/>
    <xf numFmtId="0" fontId="14" fillId="0" borderId="1" xfId="0" applyFont="1" applyBorder="1"/>
    <xf numFmtId="164" fontId="14" fillId="0" borderId="1" xfId="0" applyNumberFormat="1" applyFont="1" applyBorder="1"/>
    <xf numFmtId="165" fontId="14" fillId="0" borderId="1" xfId="0" applyNumberFormat="1" applyFont="1" applyBorder="1"/>
    <xf numFmtId="0" fontId="7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6" fillId="6" borderId="1" xfId="0" applyFont="1" applyFill="1" applyBorder="1"/>
    <xf numFmtId="164" fontId="6" fillId="6" borderId="1" xfId="0" applyNumberFormat="1" applyFont="1" applyFill="1" applyBorder="1"/>
    <xf numFmtId="165" fontId="6" fillId="6" borderId="1" xfId="0" applyNumberFormat="1" applyFont="1" applyFill="1" applyBorder="1"/>
    <xf numFmtId="0" fontId="15" fillId="0" borderId="0" xfId="0" applyFont="1"/>
    <xf numFmtId="165" fontId="14" fillId="0" borderId="1" xfId="0" applyNumberFormat="1" applyFont="1" applyBorder="1" applyAlignment="1">
      <alignment horizontal="center"/>
    </xf>
    <xf numFmtId="0" fontId="17" fillId="0" borderId="1" xfId="0" applyFont="1" applyBorder="1"/>
    <xf numFmtId="166" fontId="17" fillId="0" borderId="1" xfId="0" applyNumberFormat="1" applyFont="1" applyBorder="1"/>
    <xf numFmtId="0" fontId="19" fillId="0" borderId="1" xfId="0" applyFont="1" applyBorder="1"/>
    <xf numFmtId="164" fontId="17" fillId="0" borderId="1" xfId="0" applyNumberFormat="1" applyFont="1" applyBorder="1"/>
    <xf numFmtId="164" fontId="19" fillId="0" borderId="1" xfId="0" applyNumberFormat="1" applyFont="1" applyBorder="1"/>
    <xf numFmtId="167" fontId="19" fillId="0" borderId="1" xfId="0" applyNumberFormat="1" applyFont="1" applyBorder="1"/>
    <xf numFmtId="168" fontId="19" fillId="0" borderId="1" xfId="0" applyNumberFormat="1" applyFont="1" applyBorder="1"/>
    <xf numFmtId="0" fontId="19" fillId="0" borderId="1" xfId="0" applyFont="1" applyBorder="1" applyAlignment="1">
      <alignment horizontal="center"/>
    </xf>
    <xf numFmtId="168" fontId="6" fillId="6" borderId="1" xfId="0" applyNumberFormat="1" applyFont="1" applyFill="1" applyBorder="1"/>
    <xf numFmtId="167" fontId="6" fillId="6" borderId="1" xfId="0" applyNumberFormat="1" applyFont="1" applyFill="1" applyBorder="1"/>
    <xf numFmtId="0" fontId="6" fillId="6" borderId="1" xfId="0" applyFont="1" applyFill="1" applyBorder="1" applyAlignment="1">
      <alignment horizontal="center"/>
    </xf>
    <xf numFmtId="0" fontId="12" fillId="7" borderId="1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vertical="center" wrapText="1"/>
    </xf>
    <xf numFmtId="0" fontId="20" fillId="0" borderId="1" xfId="0" applyFont="1" applyBorder="1" applyAlignment="1">
      <alignment vertical="center" wrapText="1"/>
    </xf>
    <xf numFmtId="168" fontId="17" fillId="0" borderId="1" xfId="0" applyNumberFormat="1" applyFont="1" applyBorder="1"/>
    <xf numFmtId="0" fontId="6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3" fillId="0" borderId="0" xfId="0" applyFont="1"/>
    <xf numFmtId="0" fontId="10" fillId="5" borderId="0" xfId="0" applyFont="1" applyFill="1"/>
    <xf numFmtId="0" fontId="11" fillId="0" borderId="0" xfId="0" applyFont="1"/>
    <xf numFmtId="0" fontId="12" fillId="5" borderId="1" xfId="0" applyFont="1" applyFill="1" applyBorder="1" applyAlignment="1">
      <alignment horizontal="center" vertical="center" wrapText="1"/>
    </xf>
    <xf numFmtId="0" fontId="15" fillId="0" borderId="0" xfId="0" applyFont="1"/>
    <xf numFmtId="0" fontId="23" fillId="0" borderId="0" xfId="0" applyFont="1" applyAlignment="1">
      <alignment horizontal="left"/>
    </xf>
    <xf numFmtId="0" fontId="24" fillId="0" borderId="0" xfId="0" applyFont="1" applyAlignment="1">
      <alignment horizontal="left" vertical="top" wrapText="1"/>
    </xf>
  </cellXfs>
  <cellStyles count="1">
    <cellStyle name="Normal" xfId="0" builtinId="0"/>
  </cellStyles>
  <dxfs count="136">
    <dxf>
      <font>
        <color rgb="FF5B6472"/>
      </font>
      <fill>
        <patternFill>
          <bgColor rgb="FFF2F2F2"/>
        </patternFill>
      </fill>
    </dxf>
    <dxf>
      <font>
        <color rgb="FFC0392B"/>
      </font>
      <fill>
        <patternFill>
          <bgColor rgb="FFFADBD8"/>
        </patternFill>
      </fill>
    </dxf>
    <dxf>
      <font>
        <color rgb="FFB7791F"/>
      </font>
      <fill>
        <patternFill>
          <bgColor rgb="FFFCEFCB"/>
        </patternFill>
      </fill>
    </dxf>
    <dxf>
      <font>
        <color rgb="FF1E8449"/>
      </font>
      <fill>
        <patternFill>
          <bgColor rgb="FFD4EFDF"/>
        </patternFill>
      </fill>
    </dxf>
    <dxf>
      <font>
        <color rgb="FF5B6472"/>
      </font>
      <fill>
        <patternFill>
          <bgColor rgb="FFF2F2F2"/>
        </patternFill>
      </fill>
    </dxf>
    <dxf>
      <font>
        <color rgb="FFC0392B"/>
      </font>
      <fill>
        <patternFill>
          <bgColor rgb="FFFADBD8"/>
        </patternFill>
      </fill>
    </dxf>
    <dxf>
      <font>
        <color rgb="FFB7791F"/>
      </font>
      <fill>
        <patternFill>
          <bgColor rgb="FFFCEFCB"/>
        </patternFill>
      </fill>
    </dxf>
    <dxf>
      <font>
        <color rgb="FF1E8449"/>
      </font>
      <fill>
        <patternFill>
          <bgColor rgb="FFD4EFDF"/>
        </patternFill>
      </fill>
    </dxf>
    <dxf>
      <font>
        <color rgb="FF5B6472"/>
      </font>
      <fill>
        <patternFill>
          <bgColor rgb="FFF2F2F2"/>
        </patternFill>
      </fill>
    </dxf>
    <dxf>
      <font>
        <color rgb="FFC0392B"/>
      </font>
      <fill>
        <patternFill>
          <bgColor rgb="FFFADBD8"/>
        </patternFill>
      </fill>
    </dxf>
    <dxf>
      <font>
        <color rgb="FFB7791F"/>
      </font>
      <fill>
        <patternFill>
          <bgColor rgb="FFFCEFCB"/>
        </patternFill>
      </fill>
    </dxf>
    <dxf>
      <font>
        <color rgb="FF1E8449"/>
      </font>
      <fill>
        <patternFill>
          <bgColor rgb="FFD4EFDF"/>
        </patternFill>
      </fill>
    </dxf>
    <dxf>
      <font>
        <color rgb="FF5B6472"/>
      </font>
      <fill>
        <patternFill>
          <bgColor rgb="FFF2F2F2"/>
        </patternFill>
      </fill>
    </dxf>
    <dxf>
      <font>
        <color rgb="FFC0392B"/>
      </font>
      <fill>
        <patternFill>
          <bgColor rgb="FFFADBD8"/>
        </patternFill>
      </fill>
    </dxf>
    <dxf>
      <font>
        <color rgb="FFB7791F"/>
      </font>
      <fill>
        <patternFill>
          <bgColor rgb="FFFCEFCB"/>
        </patternFill>
      </fill>
    </dxf>
    <dxf>
      <font>
        <color rgb="FF1E8449"/>
      </font>
      <fill>
        <patternFill>
          <bgColor rgb="FFD4EFDF"/>
        </patternFill>
      </fill>
    </dxf>
    <dxf>
      <font>
        <color rgb="FF5B6472"/>
      </font>
      <fill>
        <patternFill>
          <bgColor rgb="FFF2F2F2"/>
        </patternFill>
      </fill>
    </dxf>
    <dxf>
      <font>
        <color rgb="FFC0392B"/>
      </font>
      <fill>
        <patternFill>
          <bgColor rgb="FFFADBD8"/>
        </patternFill>
      </fill>
    </dxf>
    <dxf>
      <font>
        <color rgb="FFB7791F"/>
      </font>
      <fill>
        <patternFill>
          <bgColor rgb="FFFCEFCB"/>
        </patternFill>
      </fill>
    </dxf>
    <dxf>
      <font>
        <color rgb="FF1E8449"/>
      </font>
      <fill>
        <patternFill>
          <bgColor rgb="FFD4EFDF"/>
        </patternFill>
      </fill>
    </dxf>
    <dxf>
      <font>
        <color rgb="FF5B6472"/>
      </font>
      <fill>
        <patternFill>
          <bgColor rgb="FFF2F2F2"/>
        </patternFill>
      </fill>
    </dxf>
    <dxf>
      <font>
        <color rgb="FFC0392B"/>
      </font>
      <fill>
        <patternFill>
          <bgColor rgb="FFFADBD8"/>
        </patternFill>
      </fill>
    </dxf>
    <dxf>
      <font>
        <color rgb="FFB7791F"/>
      </font>
      <fill>
        <patternFill>
          <bgColor rgb="FFFCEFCB"/>
        </patternFill>
      </fill>
    </dxf>
    <dxf>
      <font>
        <color rgb="FF1E8449"/>
      </font>
      <fill>
        <patternFill>
          <bgColor rgb="FFD4EFDF"/>
        </patternFill>
      </fill>
    </dxf>
    <dxf>
      <font>
        <color rgb="FF5B6472"/>
      </font>
      <fill>
        <patternFill>
          <bgColor rgb="FFF2F2F2"/>
        </patternFill>
      </fill>
    </dxf>
    <dxf>
      <font>
        <color rgb="FFC0392B"/>
      </font>
      <fill>
        <patternFill>
          <bgColor rgb="FFFADBD8"/>
        </patternFill>
      </fill>
    </dxf>
    <dxf>
      <font>
        <color rgb="FFB7791F"/>
      </font>
      <fill>
        <patternFill>
          <bgColor rgb="FFFCEFCB"/>
        </patternFill>
      </fill>
    </dxf>
    <dxf>
      <font>
        <color rgb="FF1E8449"/>
      </font>
      <fill>
        <patternFill>
          <bgColor rgb="FFD4EFDF"/>
        </patternFill>
      </fill>
    </dxf>
    <dxf>
      <font>
        <color rgb="FF5B6472"/>
      </font>
      <fill>
        <patternFill>
          <bgColor rgb="FFF2F2F2"/>
        </patternFill>
      </fill>
    </dxf>
    <dxf>
      <font>
        <color rgb="FFC0392B"/>
      </font>
      <fill>
        <patternFill>
          <bgColor rgb="FFFADBD8"/>
        </patternFill>
      </fill>
    </dxf>
    <dxf>
      <font>
        <color rgb="FFB7791F"/>
      </font>
      <fill>
        <patternFill>
          <bgColor rgb="FFFCEFCB"/>
        </patternFill>
      </fill>
    </dxf>
    <dxf>
      <font>
        <color rgb="FF1E8449"/>
      </font>
      <fill>
        <patternFill>
          <bgColor rgb="FFD4EFDF"/>
        </patternFill>
      </fill>
    </dxf>
    <dxf>
      <font>
        <color rgb="FF5B6472"/>
      </font>
      <fill>
        <patternFill>
          <bgColor rgb="FFF2F2F2"/>
        </patternFill>
      </fill>
    </dxf>
    <dxf>
      <font>
        <color rgb="FFC0392B"/>
      </font>
      <fill>
        <patternFill>
          <bgColor rgb="FFFADBD8"/>
        </patternFill>
      </fill>
    </dxf>
    <dxf>
      <font>
        <color rgb="FFB7791F"/>
      </font>
      <fill>
        <patternFill>
          <bgColor rgb="FFFCEFCB"/>
        </patternFill>
      </fill>
    </dxf>
    <dxf>
      <font>
        <color rgb="FF1E8449"/>
      </font>
      <fill>
        <patternFill>
          <bgColor rgb="FFD4EFDF"/>
        </patternFill>
      </fill>
    </dxf>
    <dxf>
      <font>
        <color rgb="FF5B6472"/>
      </font>
      <fill>
        <patternFill>
          <bgColor rgb="FFF2F2F2"/>
        </patternFill>
      </fill>
    </dxf>
    <dxf>
      <font>
        <color rgb="FFC0392B"/>
      </font>
      <fill>
        <patternFill>
          <bgColor rgb="FFFADBD8"/>
        </patternFill>
      </fill>
    </dxf>
    <dxf>
      <font>
        <color rgb="FFB7791F"/>
      </font>
      <fill>
        <patternFill>
          <bgColor rgb="FFFCEFCB"/>
        </patternFill>
      </fill>
    </dxf>
    <dxf>
      <font>
        <color rgb="FF1E8449"/>
      </font>
      <fill>
        <patternFill>
          <bgColor rgb="FFD4EFDF"/>
        </patternFill>
      </fill>
    </dxf>
    <dxf>
      <font>
        <color rgb="FF5B6472"/>
      </font>
      <fill>
        <patternFill>
          <bgColor rgb="FFF2F2F2"/>
        </patternFill>
      </fill>
    </dxf>
    <dxf>
      <font>
        <color rgb="FFC0392B"/>
      </font>
      <fill>
        <patternFill>
          <bgColor rgb="FFFADBD8"/>
        </patternFill>
      </fill>
    </dxf>
    <dxf>
      <font>
        <color rgb="FFB7791F"/>
      </font>
      <fill>
        <patternFill>
          <bgColor rgb="FFFCEFCB"/>
        </patternFill>
      </fill>
    </dxf>
    <dxf>
      <font>
        <color rgb="FF1E8449"/>
      </font>
      <fill>
        <patternFill>
          <bgColor rgb="FFD4EFDF"/>
        </patternFill>
      </fill>
    </dxf>
    <dxf>
      <font>
        <color rgb="FF5B6472"/>
      </font>
      <fill>
        <patternFill>
          <bgColor rgb="FFF2F2F2"/>
        </patternFill>
      </fill>
    </dxf>
    <dxf>
      <font>
        <color rgb="FFC0392B"/>
      </font>
      <fill>
        <patternFill>
          <bgColor rgb="FFFADBD8"/>
        </patternFill>
      </fill>
    </dxf>
    <dxf>
      <font>
        <color rgb="FFB7791F"/>
      </font>
      <fill>
        <patternFill>
          <bgColor rgb="FFFCEFCB"/>
        </patternFill>
      </fill>
    </dxf>
    <dxf>
      <font>
        <color rgb="FF1E8449"/>
      </font>
      <fill>
        <patternFill>
          <bgColor rgb="FFD4EFDF"/>
        </patternFill>
      </fill>
    </dxf>
    <dxf>
      <font>
        <color rgb="FF5B6472"/>
      </font>
      <fill>
        <patternFill>
          <bgColor rgb="FFF2F2F2"/>
        </patternFill>
      </fill>
    </dxf>
    <dxf>
      <font>
        <color rgb="FFC0392B"/>
      </font>
      <fill>
        <patternFill>
          <bgColor rgb="FFFADBD8"/>
        </patternFill>
      </fill>
    </dxf>
    <dxf>
      <font>
        <color rgb="FFB7791F"/>
      </font>
      <fill>
        <patternFill>
          <bgColor rgb="FFFCEFCB"/>
        </patternFill>
      </fill>
    </dxf>
    <dxf>
      <font>
        <color rgb="FF1E8449"/>
      </font>
      <fill>
        <patternFill>
          <bgColor rgb="FFD4EFDF"/>
        </patternFill>
      </fill>
    </dxf>
    <dxf>
      <font>
        <color rgb="FF5B6472"/>
      </font>
      <fill>
        <patternFill>
          <bgColor rgb="FFF2F2F2"/>
        </patternFill>
      </fill>
    </dxf>
    <dxf>
      <font>
        <color rgb="FFC0392B"/>
      </font>
      <fill>
        <patternFill>
          <bgColor rgb="FFFADBD8"/>
        </patternFill>
      </fill>
    </dxf>
    <dxf>
      <font>
        <color rgb="FFB7791F"/>
      </font>
      <fill>
        <patternFill>
          <bgColor rgb="FFFCEFCB"/>
        </patternFill>
      </fill>
    </dxf>
    <dxf>
      <font>
        <color rgb="FF1E8449"/>
      </font>
      <fill>
        <patternFill>
          <bgColor rgb="FFD4EFDF"/>
        </patternFill>
      </fill>
    </dxf>
    <dxf>
      <font>
        <color rgb="FF5B6472"/>
      </font>
      <fill>
        <patternFill>
          <bgColor rgb="FFF2F2F2"/>
        </patternFill>
      </fill>
    </dxf>
    <dxf>
      <font>
        <color rgb="FFC0392B"/>
      </font>
      <fill>
        <patternFill>
          <bgColor rgb="FFFADBD8"/>
        </patternFill>
      </fill>
    </dxf>
    <dxf>
      <font>
        <color rgb="FFB7791F"/>
      </font>
      <fill>
        <patternFill>
          <bgColor rgb="FFFCEFCB"/>
        </patternFill>
      </fill>
    </dxf>
    <dxf>
      <font>
        <color rgb="FF1E8449"/>
      </font>
      <fill>
        <patternFill>
          <bgColor rgb="FFD4EFDF"/>
        </patternFill>
      </fill>
    </dxf>
    <dxf>
      <font>
        <color rgb="FF5B6472"/>
      </font>
      <fill>
        <patternFill>
          <bgColor rgb="FFF2F2F2"/>
        </patternFill>
      </fill>
    </dxf>
    <dxf>
      <font>
        <color rgb="FFC0392B"/>
      </font>
      <fill>
        <patternFill>
          <bgColor rgb="FFFADBD8"/>
        </patternFill>
      </fill>
    </dxf>
    <dxf>
      <font>
        <color rgb="FFB7791F"/>
      </font>
      <fill>
        <patternFill>
          <bgColor rgb="FFFCEFCB"/>
        </patternFill>
      </fill>
    </dxf>
    <dxf>
      <font>
        <color rgb="FF1E8449"/>
      </font>
      <fill>
        <patternFill>
          <bgColor rgb="FFD4EFDF"/>
        </patternFill>
      </fill>
    </dxf>
    <dxf>
      <font>
        <color rgb="FF5B6472"/>
      </font>
      <fill>
        <patternFill>
          <bgColor rgb="FFF2F2F2"/>
        </patternFill>
      </fill>
    </dxf>
    <dxf>
      <font>
        <color rgb="FFC0392B"/>
      </font>
      <fill>
        <patternFill>
          <bgColor rgb="FFFADBD8"/>
        </patternFill>
      </fill>
    </dxf>
    <dxf>
      <font>
        <color rgb="FFB7791F"/>
      </font>
      <fill>
        <patternFill>
          <bgColor rgb="FFFCEFCB"/>
        </patternFill>
      </fill>
    </dxf>
    <dxf>
      <font>
        <color rgb="FF1E8449"/>
      </font>
      <fill>
        <patternFill>
          <bgColor rgb="FFD4EFDF"/>
        </patternFill>
      </fill>
    </dxf>
    <dxf>
      <font>
        <color rgb="FF5B6472"/>
      </font>
      <fill>
        <patternFill>
          <bgColor rgb="FFF2F2F2"/>
        </patternFill>
      </fill>
    </dxf>
    <dxf>
      <font>
        <color rgb="FFC0392B"/>
      </font>
      <fill>
        <patternFill>
          <bgColor rgb="FFFADBD8"/>
        </patternFill>
      </fill>
    </dxf>
    <dxf>
      <font>
        <color rgb="FFB7791F"/>
      </font>
      <fill>
        <patternFill>
          <bgColor rgb="FFFCEFCB"/>
        </patternFill>
      </fill>
    </dxf>
    <dxf>
      <font>
        <color rgb="FF1E8449"/>
      </font>
      <fill>
        <patternFill>
          <bgColor rgb="FFD4EFDF"/>
        </patternFill>
      </fill>
    </dxf>
    <dxf>
      <font>
        <color rgb="FF5B6472"/>
      </font>
      <fill>
        <patternFill>
          <bgColor rgb="FFF2F2F2"/>
        </patternFill>
      </fill>
    </dxf>
    <dxf>
      <font>
        <color rgb="FFC0392B"/>
      </font>
      <fill>
        <patternFill>
          <bgColor rgb="FFFADBD8"/>
        </patternFill>
      </fill>
    </dxf>
    <dxf>
      <font>
        <color rgb="FFB7791F"/>
      </font>
      <fill>
        <patternFill>
          <bgColor rgb="FFFCEFCB"/>
        </patternFill>
      </fill>
    </dxf>
    <dxf>
      <font>
        <color rgb="FF1E8449"/>
      </font>
      <fill>
        <patternFill>
          <bgColor rgb="FFD4EFDF"/>
        </patternFill>
      </fill>
    </dxf>
    <dxf>
      <font>
        <color rgb="FF5B6472"/>
      </font>
      <fill>
        <patternFill>
          <bgColor rgb="FFF2F2F2"/>
        </patternFill>
      </fill>
    </dxf>
    <dxf>
      <font>
        <color rgb="FFC0392B"/>
      </font>
      <fill>
        <patternFill>
          <bgColor rgb="FFFADBD8"/>
        </patternFill>
      </fill>
    </dxf>
    <dxf>
      <font>
        <color rgb="FFB7791F"/>
      </font>
      <fill>
        <patternFill>
          <bgColor rgb="FFFCEFCB"/>
        </patternFill>
      </fill>
    </dxf>
    <dxf>
      <font>
        <color rgb="FF1E8449"/>
      </font>
      <fill>
        <patternFill>
          <bgColor rgb="FFD4EFDF"/>
        </patternFill>
      </fill>
    </dxf>
    <dxf>
      <font>
        <color rgb="FF5B6472"/>
      </font>
      <fill>
        <patternFill>
          <bgColor rgb="FFF2F2F2"/>
        </patternFill>
      </fill>
    </dxf>
    <dxf>
      <font>
        <color rgb="FFC0392B"/>
      </font>
      <fill>
        <patternFill>
          <bgColor rgb="FFFADBD8"/>
        </patternFill>
      </fill>
    </dxf>
    <dxf>
      <font>
        <color rgb="FFB7791F"/>
      </font>
      <fill>
        <patternFill>
          <bgColor rgb="FFFCEFCB"/>
        </patternFill>
      </fill>
    </dxf>
    <dxf>
      <font>
        <color rgb="FF1E8449"/>
      </font>
      <fill>
        <patternFill>
          <bgColor rgb="FFD4EFDF"/>
        </patternFill>
      </fill>
    </dxf>
    <dxf>
      <font>
        <color rgb="FF5B6472"/>
      </font>
      <fill>
        <patternFill>
          <bgColor rgb="FFF2F2F2"/>
        </patternFill>
      </fill>
    </dxf>
    <dxf>
      <font>
        <color rgb="FFC0392B"/>
      </font>
      <fill>
        <patternFill>
          <bgColor rgb="FFFADBD8"/>
        </patternFill>
      </fill>
    </dxf>
    <dxf>
      <font>
        <color rgb="FFB7791F"/>
      </font>
      <fill>
        <patternFill>
          <bgColor rgb="FFFCEFCB"/>
        </patternFill>
      </fill>
    </dxf>
    <dxf>
      <font>
        <color rgb="FF1E8449"/>
      </font>
      <fill>
        <patternFill>
          <bgColor rgb="FFD4EFDF"/>
        </patternFill>
      </fill>
    </dxf>
    <dxf>
      <font>
        <color rgb="FF5B6472"/>
      </font>
      <fill>
        <patternFill>
          <bgColor rgb="FFF2F2F2"/>
        </patternFill>
      </fill>
    </dxf>
    <dxf>
      <font>
        <color rgb="FFC0392B"/>
      </font>
      <fill>
        <patternFill>
          <bgColor rgb="FFFADBD8"/>
        </patternFill>
      </fill>
    </dxf>
    <dxf>
      <font>
        <color rgb="FFB7791F"/>
      </font>
      <fill>
        <patternFill>
          <bgColor rgb="FFFCEFCB"/>
        </patternFill>
      </fill>
    </dxf>
    <dxf>
      <font>
        <color rgb="FF1E8449"/>
      </font>
      <fill>
        <patternFill>
          <bgColor rgb="FFD4EFDF"/>
        </patternFill>
      </fill>
    </dxf>
    <dxf>
      <font>
        <color rgb="FF5B6472"/>
      </font>
      <fill>
        <patternFill>
          <bgColor rgb="FFF2F2F2"/>
        </patternFill>
      </fill>
    </dxf>
    <dxf>
      <font>
        <color rgb="FFC0392B"/>
      </font>
      <fill>
        <patternFill>
          <bgColor rgb="FFFADBD8"/>
        </patternFill>
      </fill>
    </dxf>
    <dxf>
      <font>
        <color rgb="FFB7791F"/>
      </font>
      <fill>
        <patternFill>
          <bgColor rgb="FFFCEFCB"/>
        </patternFill>
      </fill>
    </dxf>
    <dxf>
      <font>
        <color rgb="FF1E8449"/>
      </font>
      <fill>
        <patternFill>
          <bgColor rgb="FFD4EFDF"/>
        </patternFill>
      </fill>
    </dxf>
    <dxf>
      <font>
        <color rgb="FF5B6472"/>
      </font>
      <fill>
        <patternFill>
          <bgColor rgb="FFF2F2F2"/>
        </patternFill>
      </fill>
    </dxf>
    <dxf>
      <font>
        <color rgb="FFC0392B"/>
      </font>
      <fill>
        <patternFill>
          <bgColor rgb="FFFADBD8"/>
        </patternFill>
      </fill>
    </dxf>
    <dxf>
      <font>
        <color rgb="FFB7791F"/>
      </font>
      <fill>
        <patternFill>
          <bgColor rgb="FFFCEFCB"/>
        </patternFill>
      </fill>
    </dxf>
    <dxf>
      <font>
        <color rgb="FF1E8449"/>
      </font>
      <fill>
        <patternFill>
          <bgColor rgb="FFD4EFDF"/>
        </patternFill>
      </fill>
    </dxf>
    <dxf>
      <font>
        <color rgb="FF5B6472"/>
      </font>
      <fill>
        <patternFill>
          <bgColor rgb="FFF2F2F2"/>
        </patternFill>
      </fill>
    </dxf>
    <dxf>
      <font>
        <color rgb="FFC0392B"/>
      </font>
      <fill>
        <patternFill>
          <bgColor rgb="FFFADBD8"/>
        </patternFill>
      </fill>
    </dxf>
    <dxf>
      <font>
        <color rgb="FFB7791F"/>
      </font>
      <fill>
        <patternFill>
          <bgColor rgb="FFFCEFCB"/>
        </patternFill>
      </fill>
    </dxf>
    <dxf>
      <font>
        <color rgb="FF1E8449"/>
      </font>
      <fill>
        <patternFill>
          <bgColor rgb="FFD4EFDF"/>
        </patternFill>
      </fill>
    </dxf>
    <dxf>
      <font>
        <color rgb="FF5B6472"/>
      </font>
      <fill>
        <patternFill>
          <bgColor rgb="FFF2F2F2"/>
        </patternFill>
      </fill>
    </dxf>
    <dxf>
      <font>
        <color rgb="FFC0392B"/>
      </font>
      <fill>
        <patternFill>
          <bgColor rgb="FFFADBD8"/>
        </patternFill>
      </fill>
    </dxf>
    <dxf>
      <font>
        <color rgb="FFB7791F"/>
      </font>
      <fill>
        <patternFill>
          <bgColor rgb="FFFCEFCB"/>
        </patternFill>
      </fill>
    </dxf>
    <dxf>
      <font>
        <color rgb="FF1E8449"/>
      </font>
      <fill>
        <patternFill>
          <bgColor rgb="FFD4EFDF"/>
        </patternFill>
      </fill>
    </dxf>
    <dxf>
      <font>
        <color rgb="FF5B6472"/>
      </font>
      <fill>
        <patternFill>
          <bgColor rgb="FFF2F2F2"/>
        </patternFill>
      </fill>
    </dxf>
    <dxf>
      <font>
        <color rgb="FFC0392B"/>
      </font>
      <fill>
        <patternFill>
          <bgColor rgb="FFFADBD8"/>
        </patternFill>
      </fill>
    </dxf>
    <dxf>
      <font>
        <color rgb="FFB7791F"/>
      </font>
      <fill>
        <patternFill>
          <bgColor rgb="FFFCEFCB"/>
        </patternFill>
      </fill>
    </dxf>
    <dxf>
      <font>
        <color rgb="FF1E8449"/>
      </font>
      <fill>
        <patternFill>
          <bgColor rgb="FFD4EFDF"/>
        </patternFill>
      </fill>
    </dxf>
    <dxf>
      <font>
        <color rgb="FF5B6472"/>
      </font>
      <fill>
        <patternFill>
          <bgColor rgb="FFF2F2F2"/>
        </patternFill>
      </fill>
    </dxf>
    <dxf>
      <font>
        <color rgb="FFC0392B"/>
      </font>
      <fill>
        <patternFill>
          <bgColor rgb="FFFADBD8"/>
        </patternFill>
      </fill>
    </dxf>
    <dxf>
      <font>
        <color rgb="FFB7791F"/>
      </font>
      <fill>
        <patternFill>
          <bgColor rgb="FFFCEFCB"/>
        </patternFill>
      </fill>
    </dxf>
    <dxf>
      <font>
        <color rgb="FF1E8449"/>
      </font>
      <fill>
        <patternFill>
          <bgColor rgb="FFD4EFDF"/>
        </patternFill>
      </fill>
    </dxf>
    <dxf>
      <font>
        <color rgb="FF5B6472"/>
      </font>
      <fill>
        <patternFill>
          <bgColor rgb="FFF2F2F2"/>
        </patternFill>
      </fill>
    </dxf>
    <dxf>
      <font>
        <color rgb="FFC0392B"/>
      </font>
      <fill>
        <patternFill>
          <bgColor rgb="FFFADBD8"/>
        </patternFill>
      </fill>
    </dxf>
    <dxf>
      <font>
        <color rgb="FFB7791F"/>
      </font>
      <fill>
        <patternFill>
          <bgColor rgb="FFFCEFCB"/>
        </patternFill>
      </fill>
    </dxf>
    <dxf>
      <font>
        <color rgb="FF1E8449"/>
      </font>
      <fill>
        <patternFill>
          <bgColor rgb="FFD4EFDF"/>
        </patternFill>
      </fill>
    </dxf>
    <dxf>
      <font>
        <color rgb="FF5B6472"/>
      </font>
      <fill>
        <patternFill>
          <bgColor rgb="FFF2F2F2"/>
        </patternFill>
      </fill>
    </dxf>
    <dxf>
      <font>
        <color rgb="FFC0392B"/>
      </font>
      <fill>
        <patternFill>
          <bgColor rgb="FFFADBD8"/>
        </patternFill>
      </fill>
    </dxf>
    <dxf>
      <font>
        <color rgb="FFB7791F"/>
      </font>
      <fill>
        <patternFill>
          <bgColor rgb="FFFCEFCB"/>
        </patternFill>
      </fill>
    </dxf>
    <dxf>
      <font>
        <color rgb="FF1E8449"/>
      </font>
      <fill>
        <patternFill>
          <bgColor rgb="FFD4EFDF"/>
        </patternFill>
      </fill>
    </dxf>
    <dxf>
      <font>
        <i/>
        <color rgb="FF5B6472"/>
        <name val="Arial"/>
        <charset val="1"/>
      </font>
      <fill>
        <patternFill>
          <bgColor rgb="FFF2F2F2"/>
        </patternFill>
      </fill>
    </dxf>
    <dxf>
      <font>
        <b/>
        <color rgb="FFC0392B"/>
        <name val="Arial"/>
        <charset val="1"/>
      </font>
      <fill>
        <patternFill>
          <bgColor rgb="FFFADBD8"/>
        </patternFill>
      </fill>
    </dxf>
    <dxf>
      <font>
        <b/>
        <color rgb="FFB7791F"/>
        <name val="Arial"/>
        <charset val="1"/>
      </font>
      <fill>
        <patternFill>
          <bgColor rgb="FFFCEFCB"/>
        </patternFill>
      </fill>
    </dxf>
    <dxf>
      <font>
        <b/>
        <color rgb="FF1E8449"/>
        <name val="Arial"/>
        <charset val="1"/>
      </font>
      <fill>
        <patternFill>
          <bgColor rgb="FFD4EFDF"/>
        </patternFill>
      </fill>
    </dxf>
    <dxf>
      <font>
        <color rgb="FF5B6472"/>
      </font>
      <fill>
        <patternFill>
          <bgColor rgb="FFF2F2F2"/>
        </patternFill>
      </fill>
    </dxf>
    <dxf>
      <font>
        <color rgb="FFC0392B"/>
      </font>
      <fill>
        <patternFill>
          <bgColor rgb="FFFADBD8"/>
        </patternFill>
      </fill>
    </dxf>
    <dxf>
      <font>
        <color rgb="FFB7791F"/>
      </font>
      <fill>
        <patternFill>
          <bgColor rgb="FFFCEFCB"/>
        </patternFill>
      </fill>
    </dxf>
    <dxf>
      <font>
        <color rgb="FF1E8449"/>
      </font>
      <fill>
        <patternFill>
          <bgColor rgb="FFD4EFDF"/>
        </patternFill>
      </fill>
    </dxf>
    <dxf>
      <font>
        <i/>
        <color rgb="FF5B6472"/>
        <name val="Arial"/>
        <charset val="1"/>
      </font>
      <fill>
        <patternFill>
          <bgColor rgb="FFF2F2F2"/>
        </patternFill>
      </fill>
    </dxf>
    <dxf>
      <font>
        <b/>
        <color rgb="FFC0392B"/>
        <name val="Arial"/>
        <charset val="1"/>
      </font>
      <fill>
        <patternFill>
          <bgColor rgb="FFFADBD8"/>
        </patternFill>
      </fill>
    </dxf>
    <dxf>
      <font>
        <b/>
        <color rgb="FFB7791F"/>
        <name val="Arial"/>
        <charset val="1"/>
      </font>
      <fill>
        <patternFill>
          <bgColor rgb="FFFCEFCB"/>
        </patternFill>
      </fill>
    </dxf>
    <dxf>
      <font>
        <b/>
        <color rgb="FF1E8449"/>
        <name val="Arial"/>
        <charset val="1"/>
      </font>
      <fill>
        <patternFill>
          <bgColor rgb="FFD4EFDF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7791F"/>
      <rgbColor rgb="FF800080"/>
      <rgbColor rgb="FF0F766E"/>
      <rgbColor rgb="FFB9C2CE"/>
      <rgbColor rgb="FF808080"/>
      <rgbColor rgb="FF9999FF"/>
      <rgbColor rgb="FF993366"/>
      <rgbColor rgb="FFFCEFCB"/>
      <rgbColor rgb="FFEEF1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4EFDF"/>
      <rgbColor rgb="FFFFFF99"/>
      <rgbColor rgb="FF99CCFF"/>
      <rgbColor rgb="FFFF99CC"/>
      <rgbColor rgb="FFCC99FF"/>
      <rgbColor rgb="FFFADBD8"/>
      <rgbColor rgb="FF3366FF"/>
      <rgbColor rgb="FF33CCCC"/>
      <rgbColor rgb="FF99CC00"/>
      <rgbColor rgb="FFFFCC00"/>
      <rgbColor rgb="FFFF9900"/>
      <rgbColor rgb="FFFF6600"/>
      <rgbColor rgb="FF5B6472"/>
      <rgbColor rgb="FF969696"/>
      <rgbColor rgb="FF1E2761"/>
      <rgbColor rgb="FF1E8449"/>
      <rgbColor rgb="FF003300"/>
      <rgbColor rgb="FF333300"/>
      <rgbColor rgb="FFC0392B"/>
      <rgbColor rgb="FF993366"/>
      <rgbColor rgb="FF1F4E99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E2761"/>
  </sheetPr>
  <dimension ref="B2:V29"/>
  <sheetViews>
    <sheetView showGridLines="0" zoomScaleNormal="100" workbookViewId="0">
      <selection activeCell="B15" sqref="B15:V16"/>
    </sheetView>
  </sheetViews>
  <sheetFormatPr baseColWidth="10" defaultColWidth="8.6640625" defaultRowHeight="18" customHeight="1" x14ac:dyDescent="0.2"/>
  <cols>
    <col min="1" max="1" width="3" customWidth="1"/>
    <col min="2" max="2" width="9.6640625" bestFit="1" customWidth="1"/>
    <col min="3" max="3" width="23.5" customWidth="1"/>
    <col min="4" max="8" width="16" customWidth="1"/>
  </cols>
  <sheetData>
    <row r="2" spans="2:22" ht="18" customHeight="1" x14ac:dyDescent="0.2">
      <c r="B2" s="2" t="s">
        <v>0</v>
      </c>
      <c r="C2" s="2"/>
      <c r="D2" s="2"/>
      <c r="E2" s="2"/>
      <c r="F2" s="2"/>
      <c r="G2" s="2"/>
      <c r="H2" s="2"/>
    </row>
    <row r="3" spans="2:22" ht="18" customHeight="1" x14ac:dyDescent="0.2">
      <c r="B3" s="2"/>
      <c r="C3" s="2"/>
      <c r="D3" s="2"/>
      <c r="E3" s="2"/>
      <c r="F3" s="2"/>
      <c r="G3" s="2"/>
      <c r="H3" s="2"/>
    </row>
    <row r="4" spans="2:22" ht="18" customHeight="1" x14ac:dyDescent="0.2">
      <c r="B4" s="1" t="s">
        <v>1</v>
      </c>
      <c r="C4" s="1"/>
      <c r="D4" s="1"/>
      <c r="E4" s="1"/>
      <c r="F4" s="1"/>
      <c r="G4" s="1"/>
      <c r="H4" s="1"/>
    </row>
    <row r="6" spans="2:22" ht="18" customHeight="1" x14ac:dyDescent="0.25">
      <c r="B6" s="54" t="s">
        <v>2</v>
      </c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</row>
    <row r="7" spans="2:22" ht="33" customHeight="1" x14ac:dyDescent="0.2">
      <c r="B7" s="55" t="s">
        <v>3</v>
      </c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</row>
    <row r="8" spans="2:22" ht="15" x14ac:dyDescent="0.2"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</row>
    <row r="9" spans="2:22" ht="30" customHeight="1" x14ac:dyDescent="0.2">
      <c r="B9" s="55" t="s">
        <v>4</v>
      </c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</row>
    <row r="10" spans="2:22" ht="15" x14ac:dyDescent="0.2"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</row>
    <row r="11" spans="2:22" ht="28" customHeight="1" x14ac:dyDescent="0.2">
      <c r="B11" s="55" t="s">
        <v>5</v>
      </c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</row>
    <row r="12" spans="2:22" ht="18" customHeight="1" x14ac:dyDescent="0.2"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</row>
    <row r="13" spans="2:22" ht="26" customHeight="1" x14ac:dyDescent="0.2">
      <c r="B13" s="55" t="s">
        <v>6</v>
      </c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</row>
    <row r="14" spans="2:22" ht="18" customHeight="1" x14ac:dyDescent="0.2"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</row>
    <row r="15" spans="2:22" ht="18" customHeight="1" x14ac:dyDescent="0.2">
      <c r="B15" s="55" t="s">
        <v>7</v>
      </c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</row>
    <row r="16" spans="2:22" ht="26" customHeight="1" x14ac:dyDescent="0.2"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</row>
    <row r="17" spans="2:22" ht="18" customHeight="1" x14ac:dyDescent="0.2">
      <c r="B17" s="55" t="s">
        <v>8</v>
      </c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</row>
    <row r="18" spans="2:22" ht="18" customHeight="1" x14ac:dyDescent="0.2"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</row>
    <row r="19" spans="2:22" ht="26" customHeight="1" x14ac:dyDescent="0.2">
      <c r="B19" s="55" t="s">
        <v>9</v>
      </c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</row>
    <row r="20" spans="2:22" ht="18" customHeight="1" x14ac:dyDescent="0.2"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</row>
    <row r="22" spans="2:22" ht="18" customHeight="1" x14ac:dyDescent="0.2">
      <c r="B22" s="49" t="s">
        <v>10</v>
      </c>
      <c r="C22" s="49"/>
      <c r="D22" s="49"/>
      <c r="E22" s="49"/>
      <c r="F22" s="49"/>
      <c r="G22" s="49"/>
      <c r="H22" s="49"/>
    </row>
    <row r="23" spans="2:22" ht="18" customHeight="1" x14ac:dyDescent="0.2">
      <c r="B23" s="13" t="s">
        <v>11</v>
      </c>
      <c r="C23" s="14" t="s">
        <v>12</v>
      </c>
    </row>
    <row r="24" spans="2:22" ht="18" customHeight="1" x14ac:dyDescent="0.2">
      <c r="B24" s="15" t="s">
        <v>13</v>
      </c>
      <c r="C24" s="14" t="s">
        <v>14</v>
      </c>
    </row>
    <row r="25" spans="2:22" ht="18" customHeight="1" x14ac:dyDescent="0.2">
      <c r="B25" s="16" t="s">
        <v>15</v>
      </c>
      <c r="C25" s="14" t="s">
        <v>16</v>
      </c>
    </row>
    <row r="27" spans="2:22" ht="18" customHeight="1" x14ac:dyDescent="0.2">
      <c r="B27" s="17" t="s">
        <v>17</v>
      </c>
    </row>
    <row r="28" spans="2:22" ht="18" customHeight="1" x14ac:dyDescent="0.2">
      <c r="B28" s="18" t="s">
        <v>18</v>
      </c>
    </row>
    <row r="29" spans="2:22" ht="18" customHeight="1" x14ac:dyDescent="0.2">
      <c r="B29" s="19" t="s">
        <v>19</v>
      </c>
    </row>
  </sheetData>
  <mergeCells count="11">
    <mergeCell ref="B22:H22"/>
    <mergeCell ref="B7:V8"/>
    <mergeCell ref="B9:V10"/>
    <mergeCell ref="B11:V12"/>
    <mergeCell ref="B13:V14"/>
    <mergeCell ref="B15:V16"/>
    <mergeCell ref="B17:V18"/>
    <mergeCell ref="B19:V20"/>
    <mergeCell ref="B2:H3"/>
    <mergeCell ref="B4:H4"/>
    <mergeCell ref="B6:V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E2761"/>
  </sheetPr>
  <dimension ref="B2:J22"/>
  <sheetViews>
    <sheetView showGridLines="0" tabSelected="1" zoomScale="130" zoomScaleNormal="13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E25" sqref="E25"/>
    </sheetView>
  </sheetViews>
  <sheetFormatPr baseColWidth="10" defaultColWidth="8.6640625" defaultRowHeight="15" x14ac:dyDescent="0.2"/>
  <cols>
    <col min="1" max="1" width="2" customWidth="1"/>
    <col min="2" max="2" width="26" customWidth="1"/>
    <col min="3" max="3" width="23.5" customWidth="1"/>
    <col min="4" max="9" width="16" customWidth="1"/>
    <col min="10" max="10" width="13" customWidth="1"/>
  </cols>
  <sheetData>
    <row r="2" spans="2:10" ht="27.75" customHeight="1" x14ac:dyDescent="0.2">
      <c r="B2" s="50" t="s">
        <v>20</v>
      </c>
      <c r="C2" s="50"/>
      <c r="D2" s="50"/>
      <c r="E2" s="50"/>
      <c r="F2" s="50"/>
      <c r="G2" s="50"/>
      <c r="H2" s="50"/>
      <c r="I2" s="50"/>
      <c r="J2" s="50"/>
    </row>
    <row r="3" spans="2:10" ht="15" customHeight="1" x14ac:dyDescent="0.2">
      <c r="B3" s="51" t="s">
        <v>21</v>
      </c>
      <c r="C3" s="51"/>
      <c r="D3" s="51"/>
      <c r="E3" s="51"/>
      <c r="F3" s="51"/>
      <c r="G3" s="51"/>
      <c r="H3" s="51"/>
      <c r="I3" s="51"/>
      <c r="J3" s="51"/>
    </row>
    <row r="5" spans="2:10" ht="31.5" customHeight="1" x14ac:dyDescent="0.2">
      <c r="B5" s="20" t="s">
        <v>22</v>
      </c>
      <c r="C5" s="20" t="s">
        <v>23</v>
      </c>
      <c r="D5" s="20" t="s">
        <v>24</v>
      </c>
      <c r="E5" s="20" t="s">
        <v>25</v>
      </c>
      <c r="F5" s="20" t="s">
        <v>26</v>
      </c>
      <c r="G5" s="20" t="s">
        <v>27</v>
      </c>
      <c r="H5" s="20" t="s">
        <v>28</v>
      </c>
      <c r="I5" s="20" t="s">
        <v>29</v>
      </c>
      <c r="J5" s="20" t="s">
        <v>30</v>
      </c>
    </row>
    <row r="6" spans="2:10" ht="19.5" customHeight="1" x14ac:dyDescent="0.2">
      <c r="B6" s="21" t="s">
        <v>31</v>
      </c>
      <c r="C6" s="22" t="str">
        <f>'Jamii Tekelezi'!C4</f>
        <v>US - DOS</v>
      </c>
      <c r="D6" s="23">
        <f>'Jamii Tekelezi'!C18</f>
        <v>68500000</v>
      </c>
      <c r="E6" s="23">
        <f>'Jamii Tekelezi'!E18</f>
        <v>36755000</v>
      </c>
      <c r="F6" s="24">
        <f>'Jamii Tekelezi'!G18</f>
        <v>7.3138686131386868E-2</v>
      </c>
      <c r="G6" s="25" t="str">
        <f>'Jamii Tekelezi'!E34</f>
        <v>Watch</v>
      </c>
      <c r="H6" s="25" t="str">
        <f>'Jamii Tekelezi'!E35</f>
        <v>Off Track</v>
      </c>
      <c r="I6" s="26" t="str">
        <f>'Jamii Tekelezi'!J35</f>
        <v>1 of 8</v>
      </c>
      <c r="J6" s="25" t="str">
        <f>'Jamii Tekelezi'!E36</f>
        <v>Off Track</v>
      </c>
    </row>
    <row r="7" spans="2:10" ht="19.5" customHeight="1" x14ac:dyDescent="0.2">
      <c r="B7" s="21" t="s">
        <v>32</v>
      </c>
      <c r="C7" s="22" t="str">
        <f>'CHAP Stawisha'!C4</f>
        <v>CDC</v>
      </c>
      <c r="D7" s="23">
        <f>'CHAP Stawisha'!C18</f>
        <v>0</v>
      </c>
      <c r="E7" s="23">
        <f>'CHAP Stawisha'!E18</f>
        <v>0</v>
      </c>
      <c r="F7" s="24" t="str">
        <f>'CHAP Stawisha'!G18</f>
        <v>N/A</v>
      </c>
      <c r="G7" s="25" t="str">
        <f>'CHAP Stawisha'!E34</f>
        <v>N/A</v>
      </c>
      <c r="H7" s="25" t="str">
        <f>'CHAP Stawisha'!E35</f>
        <v>Off Track</v>
      </c>
      <c r="I7" s="26" t="str">
        <f>'CHAP Stawisha'!J35</f>
        <v>1 of 8</v>
      </c>
      <c r="J7" s="25" t="str">
        <f>'CHAP Stawisha'!E36</f>
        <v>Off Track</v>
      </c>
    </row>
    <row r="8" spans="2:10" ht="19.5" customHeight="1" x14ac:dyDescent="0.2">
      <c r="B8" s="21" t="s">
        <v>33</v>
      </c>
      <c r="C8" s="22" t="str">
        <f>'Eye Health - ACSP &amp; GitLab'!C4</f>
        <v>ACHAP / GitLab Foundation</v>
      </c>
      <c r="D8" s="23">
        <f>'Eye Health - ACSP &amp; GitLab'!C18</f>
        <v>68500000</v>
      </c>
      <c r="E8" s="23">
        <f>'Eye Health - ACSP &amp; GitLab'!E18</f>
        <v>25687500</v>
      </c>
      <c r="F8" s="24">
        <f>'Eye Health - ACSP &amp; GitLab'!G18</f>
        <v>-9.9999999999999922E-2</v>
      </c>
      <c r="G8" s="25" t="str">
        <f>'Eye Health - ACSP &amp; GitLab'!E34</f>
        <v>On Track</v>
      </c>
      <c r="H8" s="25" t="str">
        <f>'Eye Health - ACSP &amp; GitLab'!E35</f>
        <v>On Track</v>
      </c>
      <c r="I8" s="26" t="str">
        <f>'Eye Health - ACSP &amp; GitLab'!J35</f>
        <v>0 of 8</v>
      </c>
      <c r="J8" s="25" t="str">
        <f>'Eye Health - ACSP &amp; GitLab'!E36</f>
        <v>On Track</v>
      </c>
    </row>
    <row r="9" spans="2:10" ht="19.5" customHeight="1" x14ac:dyDescent="0.2">
      <c r="B9" s="21" t="s">
        <v>34</v>
      </c>
      <c r="C9" s="22" t="str">
        <f>EIS!C4</f>
        <v>Bill &amp; Melinda Gates Foundation</v>
      </c>
      <c r="D9" s="23">
        <f>EIS!C18</f>
        <v>68500000</v>
      </c>
      <c r="E9" s="23">
        <f>EIS!E18</f>
        <v>35677084</v>
      </c>
      <c r="F9" s="24">
        <f>EIS!G18</f>
        <v>0.25000002335766436</v>
      </c>
      <c r="G9" s="25" t="str">
        <f>EIS!E34</f>
        <v>Off Track</v>
      </c>
      <c r="H9" s="25" t="str">
        <f>EIS!E35</f>
        <v>Off Track</v>
      </c>
      <c r="I9" s="26" t="str">
        <f>EIS!J35</f>
        <v>8 of 8</v>
      </c>
      <c r="J9" s="25" t="str">
        <f>EIS!E36</f>
        <v>Off Track</v>
      </c>
    </row>
    <row r="10" spans="2:10" ht="19.5" customHeight="1" x14ac:dyDescent="0.2">
      <c r="B10" s="21" t="s">
        <v>35</v>
      </c>
      <c r="C10" s="22" t="str">
        <f>'BFTW HSS'!C4</f>
        <v>Bread for the World</v>
      </c>
      <c r="D10" s="23">
        <f>'BFTW HSS'!C18</f>
        <v>68500000</v>
      </c>
      <c r="E10" s="23">
        <f>'BFTW HSS'!E18</f>
        <v>27685416</v>
      </c>
      <c r="F10" s="24">
        <f>'BFTW HSS'!G18</f>
        <v>-3.0000023357664149E-2</v>
      </c>
      <c r="G10" s="25" t="str">
        <f>'BFTW HSS'!E34</f>
        <v>On Track</v>
      </c>
      <c r="H10" s="25" t="str">
        <f>'BFTW HSS'!E35</f>
        <v>Watch</v>
      </c>
      <c r="I10" s="26" t="str">
        <f>'BFTW HSS'!J35</f>
        <v>0 of 8</v>
      </c>
      <c r="J10" s="25" t="str">
        <f>'BFTW HSS'!E36</f>
        <v>Watch</v>
      </c>
    </row>
    <row r="11" spans="2:10" ht="19.5" customHeight="1" x14ac:dyDescent="0.2">
      <c r="B11" s="21" t="s">
        <v>36</v>
      </c>
      <c r="C11" s="22" t="str">
        <f>'BFTW RMNCAH'!C4</f>
        <v>Bread for the World</v>
      </c>
      <c r="D11" s="23">
        <f>'BFTW RMNCAH'!C18</f>
        <v>68500000</v>
      </c>
      <c r="E11" s="23">
        <f>'BFTW RMNCAH'!E18</f>
        <v>29968750</v>
      </c>
      <c r="F11" s="24">
        <f>'BFTW RMNCAH'!G18</f>
        <v>5.0000000000000093E-2</v>
      </c>
      <c r="G11" s="25" t="str">
        <f>'BFTW RMNCAH'!E34</f>
        <v>On Track</v>
      </c>
      <c r="H11" s="25" t="str">
        <f>'BFTW RMNCAH'!E35</f>
        <v>On Track</v>
      </c>
      <c r="I11" s="26" t="str">
        <f>'BFTW RMNCAH'!J35</f>
        <v>0 of 8</v>
      </c>
      <c r="J11" s="25" t="str">
        <f>'BFTW RMNCAH'!E36</f>
        <v>On Track</v>
      </c>
    </row>
    <row r="12" spans="2:10" ht="19.5" customHeight="1" x14ac:dyDescent="0.2">
      <c r="B12" s="21" t="s">
        <v>37</v>
      </c>
      <c r="C12" s="22" t="str">
        <f>PEP!C4</f>
        <v>Novo Nordisk Foundation (NNF)</v>
      </c>
      <c r="D12" s="23">
        <f>PEP!C18</f>
        <v>68500000</v>
      </c>
      <c r="E12" s="23">
        <f>PEP!E18</f>
        <v>11873334</v>
      </c>
      <c r="F12" s="24">
        <f>PEP!G18</f>
        <v>-0.21999995620437945</v>
      </c>
      <c r="G12" s="25" t="str">
        <f>PEP!E34</f>
        <v>Off Track</v>
      </c>
      <c r="H12" s="25" t="str">
        <f>PEP!E35</f>
        <v>On Track</v>
      </c>
      <c r="I12" s="26" t="str">
        <f>PEP!J35</f>
        <v>0 of 8</v>
      </c>
      <c r="J12" s="25" t="str">
        <f>PEP!E36</f>
        <v>Off Track</v>
      </c>
    </row>
    <row r="13" spans="2:10" ht="19.5" customHeight="1" x14ac:dyDescent="0.2">
      <c r="B13" s="21" t="s">
        <v>38</v>
      </c>
      <c r="C13" s="22" t="str">
        <f>'GF-MNCH'!C4</f>
        <v>Bill &amp; Melinda Gates Foundation</v>
      </c>
      <c r="D13" s="23">
        <f>'GF-MNCH'!C18</f>
        <v>68500000</v>
      </c>
      <c r="E13" s="23">
        <f>'GF-MNCH'!E18</f>
        <v>34592500</v>
      </c>
      <c r="F13" s="24">
        <f>'GF-MNCH'!G18</f>
        <v>0.01</v>
      </c>
      <c r="G13" s="25" t="str">
        <f>'GF-MNCH'!E34</f>
        <v>On Track</v>
      </c>
      <c r="H13" s="25" t="str">
        <f>'GF-MNCH'!E35</f>
        <v>On Track</v>
      </c>
      <c r="I13" s="26" t="str">
        <f>'GF-MNCH'!J35</f>
        <v>0 of 8</v>
      </c>
      <c r="J13" s="25" t="str">
        <f>'GF-MNCH'!E36</f>
        <v>On Track</v>
      </c>
    </row>
    <row r="14" spans="2:10" ht="19.5" customHeight="1" x14ac:dyDescent="0.2">
      <c r="B14" s="21" t="s">
        <v>39</v>
      </c>
      <c r="C14" s="22" t="str">
        <f>IMPACT!C4</f>
        <v>action medeor</v>
      </c>
      <c r="D14" s="23">
        <f>IMPACT!C18</f>
        <v>68500000</v>
      </c>
      <c r="E14" s="23">
        <f>IMPACT!E18</f>
        <v>51945834</v>
      </c>
      <c r="F14" s="24">
        <f>IMPACT!G18</f>
        <v>0.30000001668404602</v>
      </c>
      <c r="G14" s="25" t="str">
        <f>IMPACT!E34</f>
        <v>Off Track</v>
      </c>
      <c r="H14" s="25" t="str">
        <f>IMPACT!E35</f>
        <v>Off Track</v>
      </c>
      <c r="I14" s="26" t="str">
        <f>IMPACT!J35</f>
        <v>8 of 8</v>
      </c>
      <c r="J14" s="25" t="str">
        <f>IMPACT!E36</f>
        <v>Off Track</v>
      </c>
    </row>
    <row r="15" spans="2:10" ht="19.5" customHeight="1" x14ac:dyDescent="0.2">
      <c r="B15" s="21" t="s">
        <v>40</v>
      </c>
      <c r="C15" s="22" t="str">
        <f>'CDIC-iCARE'!C4</f>
        <v>CDC / iCARE</v>
      </c>
      <c r="D15" s="23">
        <f>'CDIC-iCARE'!C18</f>
        <v>68500000</v>
      </c>
      <c r="E15" s="23">
        <f>'CDIC-iCARE'!E18</f>
        <v>24660000</v>
      </c>
      <c r="F15" s="24">
        <f>'CDIC-iCARE'!G18</f>
        <v>7.9999999999999877E-2</v>
      </c>
      <c r="G15" s="25" t="str">
        <f>'CDIC-iCARE'!E34</f>
        <v>On Track</v>
      </c>
      <c r="H15" s="25" t="str">
        <f>'CDIC-iCARE'!E35</f>
        <v>Watch</v>
      </c>
      <c r="I15" s="26" t="str">
        <f>'CDIC-iCARE'!J35</f>
        <v>0 of 8</v>
      </c>
      <c r="J15" s="25" t="str">
        <f>'CDIC-iCARE'!E36</f>
        <v>Watch</v>
      </c>
    </row>
    <row r="16" spans="2:10" ht="15" customHeight="1" x14ac:dyDescent="0.2">
      <c r="B16" s="27" t="s">
        <v>41</v>
      </c>
      <c r="D16" s="28">
        <f>SUM(D6:D15)</f>
        <v>616500000</v>
      </c>
      <c r="E16" s="28">
        <f>SUM(E6:E15)</f>
        <v>278845418</v>
      </c>
      <c r="F16" s="29" t="str">
        <f>"See project tabs for planned-vs-actual detail"</f>
        <v>See project tabs for planned-vs-actual detail</v>
      </c>
    </row>
    <row r="17" spans="2:10" ht="15" customHeight="1" x14ac:dyDescent="0.2">
      <c r="B17" s="30"/>
    </row>
    <row r="18" spans="2:10" ht="15" customHeight="1" x14ac:dyDescent="0.2">
      <c r="B18" s="52" t="s">
        <v>42</v>
      </c>
      <c r="C18" s="52"/>
      <c r="D18" s="52"/>
      <c r="E18" s="52"/>
      <c r="F18" s="52"/>
      <c r="G18" s="52"/>
      <c r="H18" s="52"/>
      <c r="I18" s="52"/>
      <c r="J18" s="52"/>
    </row>
    <row r="19" spans="2:10" ht="15" customHeight="1" x14ac:dyDescent="0.2">
      <c r="B19" s="27" t="s">
        <v>43</v>
      </c>
      <c r="D19" s="26" t="str">
        <f>COUNTIF(J6:J15,"On Track")&amp;" of "&amp;COUNTA(J6:J15)</f>
        <v>3 of 10</v>
      </c>
      <c r="E19" s="27" t="s">
        <v>44</v>
      </c>
      <c r="G19" s="26" t="str">
        <f>COUNTIF(J6:J15,"Watch")&amp;" of "&amp;COUNTA(J6:J15)</f>
        <v>2 of 10</v>
      </c>
    </row>
    <row r="20" spans="2:10" ht="15" customHeight="1" x14ac:dyDescent="0.2">
      <c r="B20" s="27" t="s">
        <v>45</v>
      </c>
      <c r="D20" s="26" t="str">
        <f>COUNTIF(J6:J15,"Off Track")&amp;" of "&amp;COUNTA(J6:J15)</f>
        <v>5 of 10</v>
      </c>
      <c r="E20" s="27" t="s">
        <v>46</v>
      </c>
      <c r="G20" s="31">
        <f>IF(D16=0,"N/A",E16/D16)</f>
        <v>0.45230400324412001</v>
      </c>
    </row>
    <row r="22" spans="2:10" ht="15" customHeight="1" x14ac:dyDescent="0.2">
      <c r="B22" s="53" t="s">
        <v>47</v>
      </c>
      <c r="C22" s="53"/>
      <c r="D22" s="53"/>
      <c r="E22" s="53"/>
      <c r="F22" s="53"/>
      <c r="G22" s="53"/>
      <c r="H22" s="53"/>
      <c r="I22" s="53"/>
      <c r="J22" s="53"/>
    </row>
  </sheetData>
  <mergeCells count="4">
    <mergeCell ref="B2:J2"/>
    <mergeCell ref="B3:J3"/>
    <mergeCell ref="B18:J18"/>
    <mergeCell ref="B22:J22"/>
  </mergeCells>
  <conditionalFormatting sqref="G6:G9">
    <cfRule type="cellIs" dxfId="135" priority="2" operator="equal">
      <formula>"On Track"</formula>
    </cfRule>
    <cfRule type="cellIs" dxfId="134" priority="3" operator="equal">
      <formula>"Watch"</formula>
    </cfRule>
    <cfRule type="cellIs" dxfId="133" priority="4" operator="equal">
      <formula>"Off Track"</formula>
    </cfRule>
    <cfRule type="cellIs" dxfId="132" priority="5" operator="equal">
      <formula>"N/A"</formula>
    </cfRule>
  </conditionalFormatting>
  <conditionalFormatting sqref="G6:H15">
    <cfRule type="cellIs" dxfId="131" priority="10" operator="equal">
      <formula>"On Track"</formula>
    </cfRule>
    <cfRule type="cellIs" dxfId="130" priority="11" operator="equal">
      <formula>"Watch"</formula>
    </cfRule>
    <cfRule type="cellIs" dxfId="129" priority="12" operator="equal">
      <formula>"Off Track"</formula>
    </cfRule>
    <cfRule type="cellIs" dxfId="128" priority="13" operator="equal">
      <formula>"N/A"</formula>
    </cfRule>
  </conditionalFormatting>
  <conditionalFormatting sqref="I6:I9">
    <cfRule type="cellIs" dxfId="127" priority="6" operator="equal">
      <formula>"On Track"</formula>
    </cfRule>
    <cfRule type="cellIs" dxfId="126" priority="7" operator="equal">
      <formula>"Watch"</formula>
    </cfRule>
    <cfRule type="cellIs" dxfId="125" priority="8" operator="equal">
      <formula>"Off Track"</formula>
    </cfRule>
    <cfRule type="cellIs" dxfId="124" priority="9" operator="equal">
      <formula>"N/A"</formula>
    </cfRule>
  </conditionalFormatting>
  <conditionalFormatting sqref="J6:J15">
    <cfRule type="cellIs" dxfId="123" priority="18" operator="equal">
      <formula>"On Track"</formula>
    </cfRule>
    <cfRule type="cellIs" dxfId="122" priority="19" operator="equal">
      <formula>"Watch"</formula>
    </cfRule>
    <cfRule type="cellIs" dxfId="121" priority="20" operator="equal">
      <formula>"Off Track"</formula>
    </cfRule>
    <cfRule type="cellIs" dxfId="120" priority="21" operator="equal">
      <formula>"N/A"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L42"/>
  <sheetViews>
    <sheetView showGridLines="0" zoomScaleNormal="100" workbookViewId="0">
      <selection activeCell="C5" sqref="C5"/>
    </sheetView>
  </sheetViews>
  <sheetFormatPr baseColWidth="10" defaultColWidth="8.6640625" defaultRowHeight="15" x14ac:dyDescent="0.2"/>
  <cols>
    <col min="2" max="2" width="84.33203125" customWidth="1"/>
    <col min="3" max="3" width="19.1640625" customWidth="1"/>
    <col min="4" max="4" width="17.6640625" customWidth="1"/>
    <col min="5" max="5" width="13" customWidth="1"/>
    <col min="6" max="6" width="16" customWidth="1"/>
    <col min="7" max="7" width="13.5" customWidth="1"/>
    <col min="8" max="8" width="12.5" customWidth="1"/>
    <col min="9" max="9" width="11.6640625" customWidth="1"/>
    <col min="10" max="10" width="15.1640625" customWidth="1"/>
    <col min="11" max="11" width="9.83203125" customWidth="1"/>
    <col min="12" max="12" width="13" customWidth="1"/>
    <col min="13" max="13" width="4.83203125" customWidth="1"/>
  </cols>
  <sheetData>
    <row r="2" spans="2:12" ht="25.5" customHeight="1" x14ac:dyDescent="0.2">
      <c r="B2" s="12" t="s">
        <v>48</v>
      </c>
      <c r="C2" s="12"/>
      <c r="D2" s="12"/>
      <c r="E2" s="12"/>
      <c r="F2" s="12"/>
      <c r="G2" s="12"/>
      <c r="H2" s="12"/>
      <c r="I2" s="12"/>
      <c r="J2" s="12"/>
      <c r="K2" s="12"/>
      <c r="L2" s="12"/>
    </row>
    <row r="4" spans="2:12" ht="15" customHeight="1" x14ac:dyDescent="0.2">
      <c r="B4" s="15" t="s">
        <v>49</v>
      </c>
      <c r="C4" s="32" t="s">
        <v>129</v>
      </c>
      <c r="E4" s="15" t="s">
        <v>50</v>
      </c>
      <c r="G4" s="33">
        <f ca="1">TODAY()</f>
        <v>46202</v>
      </c>
      <c r="I4" s="11" t="s">
        <v>51</v>
      </c>
      <c r="J4" s="11"/>
      <c r="K4" s="32">
        <v>12</v>
      </c>
    </row>
    <row r="5" spans="2:12" ht="15" customHeight="1" x14ac:dyDescent="0.2">
      <c r="B5" s="15" t="s">
        <v>52</v>
      </c>
      <c r="C5" s="32" t="s">
        <v>53</v>
      </c>
      <c r="E5" s="15" t="s">
        <v>54</v>
      </c>
      <c r="G5" s="32" t="s">
        <v>55</v>
      </c>
      <c r="I5" s="11" t="s">
        <v>56</v>
      </c>
      <c r="J5" s="11"/>
      <c r="K5" s="32">
        <v>6</v>
      </c>
    </row>
    <row r="7" spans="2:12" ht="15.75" customHeight="1" x14ac:dyDescent="0.2">
      <c r="B7" s="10" t="s">
        <v>57</v>
      </c>
      <c r="C7" s="10"/>
      <c r="D7" s="10"/>
      <c r="E7" s="10"/>
      <c r="F7" s="10"/>
      <c r="G7" s="10"/>
      <c r="H7" s="10"/>
      <c r="I7" s="10"/>
      <c r="J7" s="10"/>
      <c r="K7" s="10"/>
    </row>
    <row r="8" spans="2:12" ht="56" x14ac:dyDescent="0.2">
      <c r="B8" s="20" t="s">
        <v>58</v>
      </c>
      <c r="C8" s="20" t="s">
        <v>59</v>
      </c>
      <c r="D8" s="20" t="s">
        <v>60</v>
      </c>
      <c r="E8" s="20" t="s">
        <v>61</v>
      </c>
      <c r="F8" s="20" t="s">
        <v>62</v>
      </c>
      <c r="G8" s="20" t="s">
        <v>63</v>
      </c>
      <c r="H8" s="20" t="s">
        <v>64</v>
      </c>
      <c r="I8" s="20" t="s">
        <v>65</v>
      </c>
      <c r="J8" s="20" t="s">
        <v>66</v>
      </c>
      <c r="K8" s="20" t="s">
        <v>67</v>
      </c>
      <c r="L8" s="20" t="s">
        <v>68</v>
      </c>
    </row>
    <row r="9" spans="2:12" ht="15" customHeight="1" x14ac:dyDescent="0.2">
      <c r="B9" s="34" t="s">
        <v>69</v>
      </c>
      <c r="C9" s="35">
        <v>18000000</v>
      </c>
      <c r="D9" s="36">
        <f t="shared" ref="D9:D17" si="0">C9*$K$5/$K$4</f>
        <v>9000000</v>
      </c>
      <c r="E9" s="35">
        <v>11000000</v>
      </c>
      <c r="F9" s="36">
        <f t="shared" ref="F9:F18" si="1">E9-D9</f>
        <v>2000000</v>
      </c>
      <c r="G9" s="37">
        <f t="shared" ref="G9:G18" si="2">IF(D9=0,"N/A",F9/D9)</f>
        <v>0.22222222222222221</v>
      </c>
      <c r="H9" s="35">
        <v>1530000</v>
      </c>
      <c r="I9" s="36">
        <f t="shared" ref="I9:I18" si="3">IF($K$5=0,"N/A",E9/$K$5)</f>
        <v>1833333.3333333333</v>
      </c>
      <c r="J9" s="36">
        <f t="shared" ref="J9:J18" si="4">IF(C9=0,"N/A",I9*$K$4)</f>
        <v>22000000</v>
      </c>
      <c r="K9" s="38">
        <f t="shared" ref="K9:K18" si="5">IF($K$4-$K$5&lt;0,0,$K$4-$K$5)</f>
        <v>6</v>
      </c>
      <c r="L9" s="39" t="str">
        <f>IF(G9="N/A","N/A",IF(ABS(G9)&lt;=0.05,"On Track",IF(ABS(G9)&lt;=0.1,"Watch","Off Track")))</f>
        <v>Off Track</v>
      </c>
    </row>
    <row r="10" spans="2:12" ht="15" customHeight="1" x14ac:dyDescent="0.2">
      <c r="B10" s="34" t="s">
        <v>70</v>
      </c>
      <c r="C10" s="35">
        <v>9000000</v>
      </c>
      <c r="D10" s="36">
        <f t="shared" si="0"/>
        <v>4500000</v>
      </c>
      <c r="E10" s="35">
        <v>4590000</v>
      </c>
      <c r="F10" s="36">
        <f t="shared" si="1"/>
        <v>90000</v>
      </c>
      <c r="G10" s="37">
        <f t="shared" si="2"/>
        <v>0.02</v>
      </c>
      <c r="H10" s="35">
        <v>765000</v>
      </c>
      <c r="I10" s="36">
        <f t="shared" si="3"/>
        <v>765000</v>
      </c>
      <c r="J10" s="36">
        <f t="shared" si="4"/>
        <v>9180000</v>
      </c>
      <c r="K10" s="38">
        <f t="shared" si="5"/>
        <v>6</v>
      </c>
      <c r="L10" s="39" t="str">
        <f t="shared" ref="L10:L18" si="6">IF(G10="N/A","N/A",IF(ABS(G10)&lt;=0.05,"On Track",IF(ABS(G10)&lt;=0.1,"Watch","Off Track")))</f>
        <v>On Track</v>
      </c>
    </row>
    <row r="11" spans="2:12" ht="15" customHeight="1" x14ac:dyDescent="0.2">
      <c r="B11" s="34" t="s">
        <v>71</v>
      </c>
      <c r="C11" s="35">
        <v>7500000</v>
      </c>
      <c r="D11" s="36">
        <f t="shared" si="0"/>
        <v>3750000</v>
      </c>
      <c r="E11" s="35">
        <v>3825000</v>
      </c>
      <c r="F11" s="36">
        <f t="shared" si="1"/>
        <v>75000</v>
      </c>
      <c r="G11" s="37">
        <f t="shared" si="2"/>
        <v>0.02</v>
      </c>
      <c r="H11" s="35">
        <v>637500</v>
      </c>
      <c r="I11" s="36">
        <f t="shared" si="3"/>
        <v>637500</v>
      </c>
      <c r="J11" s="36">
        <f t="shared" si="4"/>
        <v>7650000</v>
      </c>
      <c r="K11" s="38">
        <f t="shared" si="5"/>
        <v>6</v>
      </c>
      <c r="L11" s="39" t="str">
        <f t="shared" si="6"/>
        <v>On Track</v>
      </c>
    </row>
    <row r="12" spans="2:12" ht="15" customHeight="1" x14ac:dyDescent="0.2">
      <c r="B12" s="34" t="s">
        <v>72</v>
      </c>
      <c r="C12" s="35">
        <v>6000000</v>
      </c>
      <c r="D12" s="36">
        <f t="shared" si="0"/>
        <v>3000000</v>
      </c>
      <c r="E12" s="35">
        <v>3060000</v>
      </c>
      <c r="F12" s="36">
        <f t="shared" si="1"/>
        <v>60000</v>
      </c>
      <c r="G12" s="37">
        <f t="shared" si="2"/>
        <v>0.02</v>
      </c>
      <c r="H12" s="35">
        <v>510000</v>
      </c>
      <c r="I12" s="36">
        <f t="shared" si="3"/>
        <v>510000</v>
      </c>
      <c r="J12" s="36">
        <f t="shared" si="4"/>
        <v>6120000</v>
      </c>
      <c r="K12" s="38">
        <f t="shared" si="5"/>
        <v>6</v>
      </c>
      <c r="L12" s="39" t="str">
        <f t="shared" si="6"/>
        <v>On Track</v>
      </c>
    </row>
    <row r="13" spans="2:12" ht="15" customHeight="1" x14ac:dyDescent="0.2">
      <c r="B13" s="34" t="s">
        <v>73</v>
      </c>
      <c r="C13" s="35">
        <v>9500000</v>
      </c>
      <c r="D13" s="36">
        <f t="shared" si="0"/>
        <v>4750000</v>
      </c>
      <c r="E13" s="35">
        <v>4845000</v>
      </c>
      <c r="F13" s="36">
        <f t="shared" si="1"/>
        <v>95000</v>
      </c>
      <c r="G13" s="37">
        <f t="shared" si="2"/>
        <v>0.02</v>
      </c>
      <c r="H13" s="35">
        <v>807500</v>
      </c>
      <c r="I13" s="36">
        <f t="shared" si="3"/>
        <v>807500</v>
      </c>
      <c r="J13" s="36">
        <f t="shared" si="4"/>
        <v>9690000</v>
      </c>
      <c r="K13" s="38">
        <f t="shared" si="5"/>
        <v>6</v>
      </c>
      <c r="L13" s="39" t="str">
        <f t="shared" si="6"/>
        <v>On Track</v>
      </c>
    </row>
    <row r="14" spans="2:12" ht="15" customHeight="1" x14ac:dyDescent="0.2">
      <c r="B14" s="34" t="s">
        <v>74</v>
      </c>
      <c r="C14" s="35">
        <v>4000000</v>
      </c>
      <c r="D14" s="36">
        <f t="shared" si="0"/>
        <v>2000000</v>
      </c>
      <c r="E14" s="35">
        <v>2040000</v>
      </c>
      <c r="F14" s="36">
        <f t="shared" si="1"/>
        <v>40000</v>
      </c>
      <c r="G14" s="37">
        <f t="shared" si="2"/>
        <v>0.02</v>
      </c>
      <c r="H14" s="35">
        <v>340000</v>
      </c>
      <c r="I14" s="36">
        <f t="shared" si="3"/>
        <v>340000</v>
      </c>
      <c r="J14" s="36">
        <f t="shared" si="4"/>
        <v>4080000</v>
      </c>
      <c r="K14" s="38">
        <f t="shared" si="5"/>
        <v>6</v>
      </c>
      <c r="L14" s="39" t="str">
        <f t="shared" si="6"/>
        <v>On Track</v>
      </c>
    </row>
    <row r="15" spans="2:12" ht="15" customHeight="1" x14ac:dyDescent="0.2">
      <c r="B15" s="34" t="s">
        <v>75</v>
      </c>
      <c r="C15" s="35">
        <v>6500000</v>
      </c>
      <c r="D15" s="36">
        <f t="shared" si="0"/>
        <v>3250000</v>
      </c>
      <c r="E15" s="35">
        <v>3315000</v>
      </c>
      <c r="F15" s="36">
        <f t="shared" si="1"/>
        <v>65000</v>
      </c>
      <c r="G15" s="37">
        <f t="shared" si="2"/>
        <v>0.02</v>
      </c>
      <c r="H15" s="35">
        <v>552500</v>
      </c>
      <c r="I15" s="36">
        <f t="shared" si="3"/>
        <v>552500</v>
      </c>
      <c r="J15" s="36">
        <f t="shared" si="4"/>
        <v>6630000</v>
      </c>
      <c r="K15" s="38">
        <f t="shared" si="5"/>
        <v>6</v>
      </c>
      <c r="L15" s="39" t="str">
        <f t="shared" si="6"/>
        <v>On Track</v>
      </c>
    </row>
    <row r="16" spans="2:12" ht="15" customHeight="1" x14ac:dyDescent="0.2">
      <c r="B16" s="34" t="s">
        <v>76</v>
      </c>
      <c r="C16" s="35">
        <v>3000000</v>
      </c>
      <c r="D16" s="36">
        <f t="shared" si="0"/>
        <v>1500000</v>
      </c>
      <c r="E16" s="35">
        <v>1530000</v>
      </c>
      <c r="F16" s="36">
        <f t="shared" si="1"/>
        <v>30000</v>
      </c>
      <c r="G16" s="37">
        <f t="shared" si="2"/>
        <v>0.02</v>
      </c>
      <c r="H16" s="35">
        <v>255000</v>
      </c>
      <c r="I16" s="36">
        <f t="shared" si="3"/>
        <v>255000</v>
      </c>
      <c r="J16" s="36">
        <f t="shared" si="4"/>
        <v>3060000</v>
      </c>
      <c r="K16" s="38">
        <f t="shared" si="5"/>
        <v>6</v>
      </c>
      <c r="L16" s="39" t="str">
        <f t="shared" si="6"/>
        <v>On Track</v>
      </c>
    </row>
    <row r="17" spans="2:12" ht="15" customHeight="1" x14ac:dyDescent="0.2">
      <c r="B17" s="34" t="s">
        <v>77</v>
      </c>
      <c r="C17" s="35">
        <v>5000000</v>
      </c>
      <c r="D17" s="36">
        <f t="shared" si="0"/>
        <v>2500000</v>
      </c>
      <c r="E17" s="35">
        <v>2550000</v>
      </c>
      <c r="F17" s="36">
        <f t="shared" si="1"/>
        <v>50000</v>
      </c>
      <c r="G17" s="37">
        <f t="shared" si="2"/>
        <v>0.02</v>
      </c>
      <c r="H17" s="35">
        <v>425000</v>
      </c>
      <c r="I17" s="36">
        <f t="shared" si="3"/>
        <v>425000</v>
      </c>
      <c r="J17" s="36">
        <f t="shared" si="4"/>
        <v>5100000</v>
      </c>
      <c r="K17" s="38">
        <f t="shared" si="5"/>
        <v>6</v>
      </c>
      <c r="L17" s="39" t="str">
        <f t="shared" si="6"/>
        <v>On Track</v>
      </c>
    </row>
    <row r="18" spans="2:12" ht="15" customHeight="1" x14ac:dyDescent="0.2">
      <c r="B18" s="27" t="s">
        <v>78</v>
      </c>
      <c r="C18" s="28">
        <f>SUM(C9:C17)</f>
        <v>68500000</v>
      </c>
      <c r="D18" s="28">
        <f>SUM(D9:D17)</f>
        <v>34250000</v>
      </c>
      <c r="E18" s="28">
        <f>SUM(E9:E17)</f>
        <v>36755000</v>
      </c>
      <c r="F18" s="40">
        <f t="shared" si="1"/>
        <v>2505000</v>
      </c>
      <c r="G18" s="41">
        <f t="shared" si="2"/>
        <v>7.3138686131386868E-2</v>
      </c>
      <c r="H18" s="28">
        <f>SUM(H9:H17)</f>
        <v>5822500</v>
      </c>
      <c r="I18" s="28">
        <f t="shared" si="3"/>
        <v>6125833.333333333</v>
      </c>
      <c r="J18" s="28">
        <f t="shared" si="4"/>
        <v>73510000</v>
      </c>
      <c r="K18" s="40">
        <f t="shared" si="5"/>
        <v>6</v>
      </c>
      <c r="L18" s="39" t="str">
        <f t="shared" si="6"/>
        <v>Watch</v>
      </c>
    </row>
    <row r="19" spans="2:12" ht="15.75" customHeight="1" x14ac:dyDescent="0.2">
      <c r="B19" s="9" t="s">
        <v>79</v>
      </c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2:12" ht="31.5" customHeight="1" x14ac:dyDescent="0.2"/>
    <row r="21" spans="2:12" ht="27.75" customHeight="1" x14ac:dyDescent="0.2">
      <c r="B21" s="8" t="s">
        <v>80</v>
      </c>
      <c r="C21" s="8"/>
      <c r="D21" s="8"/>
      <c r="E21" s="8"/>
      <c r="F21" s="8"/>
      <c r="G21" s="8"/>
      <c r="H21" s="8"/>
      <c r="I21" s="8"/>
      <c r="J21" s="8"/>
      <c r="K21" s="8"/>
      <c r="L21" s="8"/>
    </row>
    <row r="22" spans="2:12" ht="42" x14ac:dyDescent="0.2">
      <c r="B22" s="43" t="s">
        <v>81</v>
      </c>
      <c r="C22" s="43" t="s">
        <v>82</v>
      </c>
      <c r="D22" s="43" t="s">
        <v>83</v>
      </c>
      <c r="E22" s="43" t="s">
        <v>84</v>
      </c>
      <c r="F22" s="43" t="s">
        <v>85</v>
      </c>
      <c r="G22" s="43" t="s">
        <v>86</v>
      </c>
      <c r="L22" s="43" t="s">
        <v>68</v>
      </c>
    </row>
    <row r="23" spans="2:12" ht="27.75" customHeight="1" x14ac:dyDescent="0.2">
      <c r="B23" s="44" t="s">
        <v>87</v>
      </c>
      <c r="C23" s="45" t="s">
        <v>88</v>
      </c>
      <c r="D23" s="46">
        <v>1200</v>
      </c>
      <c r="E23" s="46">
        <f t="shared" ref="E23:E30" si="7">D23*$K$5/$K$4</f>
        <v>600</v>
      </c>
      <c r="F23" s="46">
        <v>400</v>
      </c>
      <c r="G23" s="7">
        <f t="shared" ref="G23:G30" si="8">IF(E23=0,"N/A",F23/E23)</f>
        <v>0.66666666666666663</v>
      </c>
      <c r="H23" s="7"/>
      <c r="I23" s="7"/>
      <c r="J23" s="7"/>
      <c r="K23" s="7"/>
      <c r="L23" s="39" t="str">
        <f t="shared" ref="L23:L30" si="9">IF(G23="N/A","N/A",IF(G23&gt;=0.9,"On Track",IF(G23&gt;=0.75,"Watch","Off Track")))</f>
        <v>Off Track</v>
      </c>
    </row>
    <row r="24" spans="2:12" ht="27.75" customHeight="1" x14ac:dyDescent="0.2">
      <c r="B24" s="44" t="s">
        <v>89</v>
      </c>
      <c r="C24" s="45" t="s">
        <v>88</v>
      </c>
      <c r="D24" s="46">
        <v>600</v>
      </c>
      <c r="E24" s="46">
        <f t="shared" si="7"/>
        <v>300</v>
      </c>
      <c r="F24" s="46">
        <v>250</v>
      </c>
      <c r="G24" s="7">
        <f t="shared" si="8"/>
        <v>0.83333333333333337</v>
      </c>
      <c r="H24" s="7"/>
      <c r="I24" s="7"/>
      <c r="J24" s="7"/>
      <c r="K24" s="7"/>
      <c r="L24" s="39" t="str">
        <f t="shared" si="9"/>
        <v>Watch</v>
      </c>
    </row>
    <row r="25" spans="2:12" ht="27.75" customHeight="1" x14ac:dyDescent="0.2">
      <c r="B25" s="44" t="s">
        <v>90</v>
      </c>
      <c r="C25" s="45" t="s">
        <v>88</v>
      </c>
      <c r="D25" s="46">
        <v>900</v>
      </c>
      <c r="E25" s="46">
        <f t="shared" si="7"/>
        <v>450</v>
      </c>
      <c r="F25" s="46">
        <v>428</v>
      </c>
      <c r="G25" s="7">
        <f t="shared" si="8"/>
        <v>0.95111111111111113</v>
      </c>
      <c r="H25" s="7"/>
      <c r="I25" s="7"/>
      <c r="J25" s="7"/>
      <c r="K25" s="7"/>
      <c r="L25" s="39" t="str">
        <f t="shared" si="9"/>
        <v>On Track</v>
      </c>
    </row>
    <row r="26" spans="2:12" ht="27.75" customHeight="1" x14ac:dyDescent="0.2">
      <c r="B26" s="44" t="s">
        <v>91</v>
      </c>
      <c r="C26" s="45" t="s">
        <v>88</v>
      </c>
      <c r="D26" s="46">
        <v>450</v>
      </c>
      <c r="E26" s="46">
        <f t="shared" si="7"/>
        <v>225</v>
      </c>
      <c r="F26" s="46">
        <v>214</v>
      </c>
      <c r="G26" s="7">
        <f t="shared" si="8"/>
        <v>0.95111111111111113</v>
      </c>
      <c r="H26" s="7"/>
      <c r="I26" s="7"/>
      <c r="J26" s="7"/>
      <c r="K26" s="7"/>
      <c r="L26" s="39" t="str">
        <f t="shared" si="9"/>
        <v>On Track</v>
      </c>
    </row>
    <row r="27" spans="2:12" ht="27.75" customHeight="1" x14ac:dyDescent="0.2">
      <c r="B27" s="44" t="s">
        <v>92</v>
      </c>
      <c r="C27" s="45" t="s">
        <v>88</v>
      </c>
      <c r="D27" s="46">
        <v>1500</v>
      </c>
      <c r="E27" s="46">
        <f t="shared" si="7"/>
        <v>750</v>
      </c>
      <c r="F27" s="46">
        <v>712</v>
      </c>
      <c r="G27" s="7">
        <f t="shared" si="8"/>
        <v>0.94933333333333336</v>
      </c>
      <c r="H27" s="7"/>
      <c r="I27" s="7"/>
      <c r="J27" s="7"/>
      <c r="K27" s="7"/>
      <c r="L27" s="39" t="str">
        <f t="shared" si="9"/>
        <v>On Track</v>
      </c>
    </row>
    <row r="28" spans="2:12" ht="27.75" customHeight="1" x14ac:dyDescent="0.2">
      <c r="B28" s="44" t="s">
        <v>93</v>
      </c>
      <c r="C28" s="45" t="s">
        <v>88</v>
      </c>
      <c r="D28" s="46">
        <v>300</v>
      </c>
      <c r="E28" s="46">
        <f t="shared" si="7"/>
        <v>150</v>
      </c>
      <c r="F28" s="46">
        <v>142</v>
      </c>
      <c r="G28" s="7">
        <f t="shared" si="8"/>
        <v>0.94666666666666666</v>
      </c>
      <c r="H28" s="7"/>
      <c r="I28" s="7"/>
      <c r="J28" s="7"/>
      <c r="K28" s="7"/>
      <c r="L28" s="39" t="str">
        <f t="shared" si="9"/>
        <v>On Track</v>
      </c>
    </row>
    <row r="29" spans="2:12" ht="27.75" customHeight="1" x14ac:dyDescent="0.2">
      <c r="B29" s="44" t="s">
        <v>94</v>
      </c>
      <c r="C29" s="45" t="s">
        <v>88</v>
      </c>
      <c r="D29" s="46">
        <v>750</v>
      </c>
      <c r="E29" s="46">
        <f t="shared" si="7"/>
        <v>375</v>
      </c>
      <c r="F29" s="46">
        <v>356</v>
      </c>
      <c r="G29" s="7">
        <f t="shared" si="8"/>
        <v>0.94933333333333336</v>
      </c>
      <c r="H29" s="7"/>
      <c r="I29" s="7"/>
      <c r="J29" s="7"/>
      <c r="K29" s="7"/>
      <c r="L29" s="39" t="str">
        <f t="shared" si="9"/>
        <v>On Track</v>
      </c>
    </row>
    <row r="30" spans="2:12" ht="27.75" customHeight="1" x14ac:dyDescent="0.2">
      <c r="B30" s="44" t="s">
        <v>95</v>
      </c>
      <c r="C30" s="45" t="s">
        <v>88</v>
      </c>
      <c r="D30" s="46">
        <v>200</v>
      </c>
      <c r="E30" s="46">
        <f t="shared" si="7"/>
        <v>100</v>
      </c>
      <c r="F30" s="46">
        <v>95</v>
      </c>
      <c r="G30" s="7">
        <f t="shared" si="8"/>
        <v>0.95</v>
      </c>
      <c r="H30" s="7"/>
      <c r="I30" s="7"/>
      <c r="J30" s="7"/>
      <c r="K30" s="7"/>
      <c r="L30" s="39" t="str">
        <f t="shared" si="9"/>
        <v>On Track</v>
      </c>
    </row>
    <row r="31" spans="2:12" ht="21.75" customHeight="1" x14ac:dyDescent="0.2">
      <c r="B31" s="9" t="s">
        <v>96</v>
      </c>
      <c r="C31" s="9"/>
      <c r="D31" s="9"/>
      <c r="E31" s="9"/>
      <c r="F31" s="9"/>
      <c r="G31" s="9"/>
      <c r="H31" s="9"/>
      <c r="I31" s="9"/>
      <c r="J31" s="9"/>
      <c r="K31" s="9"/>
      <c r="L31" s="9"/>
    </row>
    <row r="33" spans="2:12" ht="15" customHeight="1" x14ac:dyDescent="0.2">
      <c r="B33" s="6" t="s">
        <v>97</v>
      </c>
      <c r="C33" s="6"/>
      <c r="D33" s="6"/>
      <c r="E33" s="6"/>
      <c r="F33" s="6"/>
      <c r="G33" s="6"/>
      <c r="H33" s="6"/>
      <c r="I33" s="6"/>
      <c r="J33" s="6"/>
      <c r="K33" s="6"/>
      <c r="L33" s="6"/>
    </row>
    <row r="34" spans="2:12" ht="15" customHeight="1" x14ac:dyDescent="0.2">
      <c r="B34" s="11" t="s">
        <v>98</v>
      </c>
      <c r="C34" s="11"/>
      <c r="D34" s="11"/>
      <c r="E34" s="47" t="str">
        <f>L18</f>
        <v>Watch</v>
      </c>
      <c r="F34" s="11" t="s">
        <v>99</v>
      </c>
      <c r="G34" s="11"/>
      <c r="H34" s="11"/>
      <c r="I34" s="11"/>
      <c r="J34" s="5" t="str">
        <f>COUNTIF(L9:L17,"Off Track")&amp;" of "&amp;COUNTA(L9:L17)</f>
        <v>1 of 9</v>
      </c>
      <c r="K34" s="5"/>
    </row>
    <row r="35" spans="2:12" ht="15" customHeight="1" x14ac:dyDescent="0.2">
      <c r="B35" s="11" t="s">
        <v>100</v>
      </c>
      <c r="C35" s="11"/>
      <c r="D35" s="11"/>
      <c r="E35" s="47" t="str">
        <f>IF(COUNTIF(L23:L30,"Off Track")&gt;0,"Off Track",IF(COUNTIF(L23:L30,"Watch")&gt;0,"Watch","On Track"))</f>
        <v>Off Track</v>
      </c>
      <c r="F35" s="11" t="s">
        <v>101</v>
      </c>
      <c r="G35" s="11"/>
      <c r="H35" s="11"/>
      <c r="I35" s="11"/>
      <c r="J35" s="5" t="str">
        <f>COUNTIF(L23:L30,"Off Track")&amp;" of "&amp;COUNTA(L23:L30)</f>
        <v>1 of 8</v>
      </c>
      <c r="K35" s="5"/>
    </row>
    <row r="36" spans="2:12" ht="21.75" customHeight="1" x14ac:dyDescent="0.2">
      <c r="B36" s="4" t="s">
        <v>102</v>
      </c>
      <c r="C36" s="4"/>
      <c r="D36" s="4"/>
      <c r="E36" s="48" t="str">
        <f>IF(OR(E34="Off Track",E35="Off Track"),"Off Track",IF(OR(E34="Watch",E35="Watch"),"Watch","On Track"))</f>
        <v>Off Track</v>
      </c>
    </row>
    <row r="38" spans="2:12" ht="15" customHeight="1" x14ac:dyDescent="0.2">
      <c r="B38" s="15" t="s">
        <v>103</v>
      </c>
    </row>
    <row r="39" spans="2:12" ht="15" customHeight="1" x14ac:dyDescent="0.2">
      <c r="B39" s="3" t="s">
        <v>104</v>
      </c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2:12" ht="15" customHeight="1" x14ac:dyDescent="0.2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2:12" ht="15" customHeight="1" x14ac:dyDescent="0.2"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2:12" ht="15" customHeight="1" x14ac:dyDescent="0.2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</sheetData>
  <mergeCells count="24">
    <mergeCell ref="B36:D36"/>
    <mergeCell ref="B39:L42"/>
    <mergeCell ref="B33:L33"/>
    <mergeCell ref="B34:D34"/>
    <mergeCell ref="F34:I34"/>
    <mergeCell ref="J34:K34"/>
    <mergeCell ref="B35:D35"/>
    <mergeCell ref="F35:I35"/>
    <mergeCell ref="J35:K35"/>
    <mergeCell ref="G27:K27"/>
    <mergeCell ref="G28:K28"/>
    <mergeCell ref="G29:K29"/>
    <mergeCell ref="G30:K30"/>
    <mergeCell ref="B31:L31"/>
    <mergeCell ref="B21:L21"/>
    <mergeCell ref="G23:K23"/>
    <mergeCell ref="G24:K24"/>
    <mergeCell ref="G25:K25"/>
    <mergeCell ref="G26:K26"/>
    <mergeCell ref="B2:L2"/>
    <mergeCell ref="I4:J4"/>
    <mergeCell ref="I5:J5"/>
    <mergeCell ref="B7:K7"/>
    <mergeCell ref="B19:L19"/>
  </mergeCells>
  <conditionalFormatting sqref="E34:E36">
    <cfRule type="cellIs" dxfId="119" priority="10" operator="equal">
      <formula>"On Track"</formula>
    </cfRule>
    <cfRule type="cellIs" dxfId="118" priority="11" operator="equal">
      <formula>"Watch"</formula>
    </cfRule>
    <cfRule type="cellIs" dxfId="117" priority="12" operator="equal">
      <formula>"Off Track"</formula>
    </cfRule>
    <cfRule type="cellIs" dxfId="116" priority="13" operator="equal">
      <formula>"N/A"</formula>
    </cfRule>
  </conditionalFormatting>
  <conditionalFormatting sqref="L9:L18">
    <cfRule type="cellIs" dxfId="115" priority="2" operator="equal">
      <formula>"On Track"</formula>
    </cfRule>
    <cfRule type="cellIs" dxfId="114" priority="3" operator="equal">
      <formula>"Watch"</formula>
    </cfRule>
    <cfRule type="cellIs" dxfId="113" priority="4" operator="equal">
      <formula>"Off Track"</formula>
    </cfRule>
    <cfRule type="cellIs" dxfId="112" priority="5" operator="equal">
      <formula>"N/A"</formula>
    </cfRule>
  </conditionalFormatting>
  <conditionalFormatting sqref="L23:L30">
    <cfRule type="cellIs" dxfId="111" priority="6" operator="equal">
      <formula>"On Track"</formula>
    </cfRule>
    <cfRule type="cellIs" dxfId="110" priority="7" operator="equal">
      <formula>"Watch"</formula>
    </cfRule>
    <cfRule type="cellIs" dxfId="109" priority="8" operator="equal">
      <formula>"Off Track"</formula>
    </cfRule>
    <cfRule type="cellIs" dxfId="108" priority="9" operator="equal">
      <formula>"N/A"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L42"/>
  <sheetViews>
    <sheetView showGridLines="0" zoomScaleNormal="100" workbookViewId="0">
      <selection activeCell="C5" sqref="C5"/>
    </sheetView>
  </sheetViews>
  <sheetFormatPr baseColWidth="10" defaultColWidth="8.6640625" defaultRowHeight="15" x14ac:dyDescent="0.2"/>
  <cols>
    <col min="2" max="2" width="84.33203125" customWidth="1"/>
    <col min="3" max="3" width="19.1640625" customWidth="1"/>
    <col min="4" max="4" width="17.6640625" customWidth="1"/>
    <col min="5" max="5" width="13" customWidth="1"/>
    <col min="6" max="6" width="16" customWidth="1"/>
    <col min="7" max="7" width="13.5" customWidth="1"/>
    <col min="8" max="8" width="12.5" customWidth="1"/>
    <col min="9" max="9" width="11.6640625" customWidth="1"/>
    <col min="10" max="10" width="15.1640625" customWidth="1"/>
    <col min="11" max="11" width="9.83203125" customWidth="1"/>
    <col min="12" max="12" width="13" customWidth="1"/>
    <col min="13" max="13" width="4.83203125" customWidth="1"/>
  </cols>
  <sheetData>
    <row r="2" spans="2:12" ht="25.5" customHeight="1" x14ac:dyDescent="0.2">
      <c r="B2" s="12" t="s">
        <v>105</v>
      </c>
      <c r="C2" s="12"/>
      <c r="D2" s="12"/>
      <c r="E2" s="12"/>
      <c r="F2" s="12"/>
      <c r="G2" s="12"/>
      <c r="H2" s="12"/>
      <c r="I2" s="12"/>
      <c r="J2" s="12"/>
      <c r="K2" s="12"/>
      <c r="L2" s="12"/>
    </row>
    <row r="4" spans="2:12" ht="15" customHeight="1" x14ac:dyDescent="0.2">
      <c r="B4" s="15" t="s">
        <v>49</v>
      </c>
      <c r="C4" s="32" t="s">
        <v>130</v>
      </c>
      <c r="E4" s="15" t="s">
        <v>50</v>
      </c>
      <c r="G4" s="33">
        <f ca="1">TODAY()</f>
        <v>46202</v>
      </c>
      <c r="I4" s="11" t="s">
        <v>51</v>
      </c>
      <c r="J4" s="11"/>
      <c r="K4" s="32">
        <v>12</v>
      </c>
    </row>
    <row r="5" spans="2:12" ht="15" customHeight="1" x14ac:dyDescent="0.2">
      <c r="B5" s="15" t="s">
        <v>52</v>
      </c>
      <c r="C5" s="32" t="s">
        <v>106</v>
      </c>
      <c r="E5" s="15" t="s">
        <v>54</v>
      </c>
      <c r="G5" s="32" t="s">
        <v>55</v>
      </c>
      <c r="I5" s="11" t="s">
        <v>56</v>
      </c>
      <c r="J5" s="11"/>
      <c r="K5" s="32">
        <v>6</v>
      </c>
    </row>
    <row r="7" spans="2:12" ht="15.75" customHeight="1" x14ac:dyDescent="0.2">
      <c r="B7" s="10" t="s">
        <v>57</v>
      </c>
      <c r="C7" s="10"/>
      <c r="D7" s="10"/>
      <c r="E7" s="10"/>
      <c r="F7" s="10"/>
      <c r="G7" s="10"/>
      <c r="H7" s="10"/>
      <c r="I7" s="10"/>
      <c r="J7" s="10"/>
      <c r="K7" s="10"/>
    </row>
    <row r="8" spans="2:12" ht="31.5" customHeight="1" x14ac:dyDescent="0.2">
      <c r="B8" s="20" t="s">
        <v>58</v>
      </c>
      <c r="C8" s="20" t="s">
        <v>59</v>
      </c>
      <c r="D8" s="20" t="s">
        <v>60</v>
      </c>
      <c r="E8" s="20" t="s">
        <v>61</v>
      </c>
      <c r="F8" s="20" t="s">
        <v>62</v>
      </c>
      <c r="G8" s="20" t="s">
        <v>63</v>
      </c>
      <c r="H8" s="20" t="s">
        <v>64</v>
      </c>
      <c r="I8" s="20" t="s">
        <v>65</v>
      </c>
      <c r="J8" s="20" t="s">
        <v>66</v>
      </c>
      <c r="K8" s="20" t="s">
        <v>67</v>
      </c>
      <c r="L8" s="20" t="s">
        <v>68</v>
      </c>
    </row>
    <row r="9" spans="2:12" ht="15" customHeight="1" x14ac:dyDescent="0.2">
      <c r="B9" s="34" t="s">
        <v>69</v>
      </c>
      <c r="C9" s="35"/>
      <c r="D9" s="36">
        <f t="shared" ref="D9:D17" si="0">C9*$K$5/$K$4</f>
        <v>0</v>
      </c>
      <c r="E9" s="35"/>
      <c r="F9" s="36">
        <f t="shared" ref="F9:F18" si="1">E9-D9</f>
        <v>0</v>
      </c>
      <c r="G9" s="37" t="str">
        <f t="shared" ref="G9:G18" si="2">IF(D9=0,"N/A",F9/D9)</f>
        <v>N/A</v>
      </c>
      <c r="H9" s="35"/>
      <c r="I9" s="36">
        <f t="shared" ref="I9:I18" si="3">IF($K$5=0,"N/A",E9/$K$5)</f>
        <v>0</v>
      </c>
      <c r="J9" s="36" t="str">
        <f t="shared" ref="J9:J18" si="4">IF(C9=0,"N/A",I9*$K$4)</f>
        <v>N/A</v>
      </c>
      <c r="K9" s="38">
        <f t="shared" ref="K9:K18" si="5">IF($K$4-$K$5&lt;0,0,$K$4-$K$5)</f>
        <v>6</v>
      </c>
      <c r="L9" s="39" t="str">
        <f t="shared" ref="L9:L18" si="6">IF(G9="N/A","N/A",IF(ABS(G9)&lt;=0.1,"On Track",IF(ABS(G9)&lt;=0.2,"Watch","Off Track")))</f>
        <v>N/A</v>
      </c>
    </row>
    <row r="10" spans="2:12" ht="15" customHeight="1" x14ac:dyDescent="0.2">
      <c r="B10" s="34" t="s">
        <v>70</v>
      </c>
      <c r="C10" s="35"/>
      <c r="D10" s="36">
        <f t="shared" si="0"/>
        <v>0</v>
      </c>
      <c r="E10" s="35"/>
      <c r="F10" s="36">
        <f t="shared" si="1"/>
        <v>0</v>
      </c>
      <c r="G10" s="37" t="str">
        <f t="shared" si="2"/>
        <v>N/A</v>
      </c>
      <c r="H10" s="35"/>
      <c r="I10" s="36">
        <f t="shared" si="3"/>
        <v>0</v>
      </c>
      <c r="J10" s="36" t="str">
        <f t="shared" si="4"/>
        <v>N/A</v>
      </c>
      <c r="K10" s="38">
        <f t="shared" si="5"/>
        <v>6</v>
      </c>
      <c r="L10" s="39" t="str">
        <f t="shared" si="6"/>
        <v>N/A</v>
      </c>
    </row>
    <row r="11" spans="2:12" ht="15" customHeight="1" x14ac:dyDescent="0.2">
      <c r="B11" s="34" t="s">
        <v>71</v>
      </c>
      <c r="C11" s="35"/>
      <c r="D11" s="36">
        <f t="shared" si="0"/>
        <v>0</v>
      </c>
      <c r="E11" s="35"/>
      <c r="F11" s="36">
        <f t="shared" si="1"/>
        <v>0</v>
      </c>
      <c r="G11" s="37" t="str">
        <f t="shared" si="2"/>
        <v>N/A</v>
      </c>
      <c r="H11" s="35"/>
      <c r="I11" s="36">
        <f t="shared" si="3"/>
        <v>0</v>
      </c>
      <c r="J11" s="36" t="str">
        <f t="shared" si="4"/>
        <v>N/A</v>
      </c>
      <c r="K11" s="38">
        <f t="shared" si="5"/>
        <v>6</v>
      </c>
      <c r="L11" s="39" t="str">
        <f t="shared" si="6"/>
        <v>N/A</v>
      </c>
    </row>
    <row r="12" spans="2:12" ht="15" customHeight="1" x14ac:dyDescent="0.2">
      <c r="B12" s="34" t="s">
        <v>72</v>
      </c>
      <c r="C12" s="35"/>
      <c r="D12" s="36">
        <f t="shared" si="0"/>
        <v>0</v>
      </c>
      <c r="E12" s="35"/>
      <c r="F12" s="36">
        <f t="shared" si="1"/>
        <v>0</v>
      </c>
      <c r="G12" s="37" t="str">
        <f t="shared" si="2"/>
        <v>N/A</v>
      </c>
      <c r="H12" s="35"/>
      <c r="I12" s="36">
        <f t="shared" si="3"/>
        <v>0</v>
      </c>
      <c r="J12" s="36" t="str">
        <f t="shared" si="4"/>
        <v>N/A</v>
      </c>
      <c r="K12" s="38">
        <f t="shared" si="5"/>
        <v>6</v>
      </c>
      <c r="L12" s="39" t="str">
        <f t="shared" si="6"/>
        <v>N/A</v>
      </c>
    </row>
    <row r="13" spans="2:12" ht="15" customHeight="1" x14ac:dyDescent="0.2">
      <c r="B13" s="34" t="s">
        <v>73</v>
      </c>
      <c r="C13" s="35"/>
      <c r="D13" s="36">
        <f t="shared" si="0"/>
        <v>0</v>
      </c>
      <c r="E13" s="35"/>
      <c r="F13" s="36">
        <f t="shared" si="1"/>
        <v>0</v>
      </c>
      <c r="G13" s="37" t="str">
        <f t="shared" si="2"/>
        <v>N/A</v>
      </c>
      <c r="H13" s="35"/>
      <c r="I13" s="36">
        <f t="shared" si="3"/>
        <v>0</v>
      </c>
      <c r="J13" s="36" t="str">
        <f t="shared" si="4"/>
        <v>N/A</v>
      </c>
      <c r="K13" s="38">
        <f t="shared" si="5"/>
        <v>6</v>
      </c>
      <c r="L13" s="39" t="str">
        <f t="shared" si="6"/>
        <v>N/A</v>
      </c>
    </row>
    <row r="14" spans="2:12" ht="15" customHeight="1" x14ac:dyDescent="0.2">
      <c r="B14" s="34" t="s">
        <v>74</v>
      </c>
      <c r="C14" s="35"/>
      <c r="D14" s="36">
        <f t="shared" si="0"/>
        <v>0</v>
      </c>
      <c r="E14" s="35"/>
      <c r="F14" s="36">
        <f t="shared" si="1"/>
        <v>0</v>
      </c>
      <c r="G14" s="37" t="str">
        <f t="shared" si="2"/>
        <v>N/A</v>
      </c>
      <c r="H14" s="35"/>
      <c r="I14" s="36">
        <f t="shared" si="3"/>
        <v>0</v>
      </c>
      <c r="J14" s="36" t="str">
        <f t="shared" si="4"/>
        <v>N/A</v>
      </c>
      <c r="K14" s="38">
        <f t="shared" si="5"/>
        <v>6</v>
      </c>
      <c r="L14" s="39" t="str">
        <f t="shared" si="6"/>
        <v>N/A</v>
      </c>
    </row>
    <row r="15" spans="2:12" ht="15" customHeight="1" x14ac:dyDescent="0.2">
      <c r="B15" s="34" t="s">
        <v>75</v>
      </c>
      <c r="C15" s="35"/>
      <c r="D15" s="36">
        <f t="shared" si="0"/>
        <v>0</v>
      </c>
      <c r="E15" s="35"/>
      <c r="F15" s="36">
        <f t="shared" si="1"/>
        <v>0</v>
      </c>
      <c r="G15" s="37" t="str">
        <f t="shared" si="2"/>
        <v>N/A</v>
      </c>
      <c r="H15" s="35"/>
      <c r="I15" s="36">
        <f t="shared" si="3"/>
        <v>0</v>
      </c>
      <c r="J15" s="36" t="str">
        <f t="shared" si="4"/>
        <v>N/A</v>
      </c>
      <c r="K15" s="38">
        <f t="shared" si="5"/>
        <v>6</v>
      </c>
      <c r="L15" s="39" t="str">
        <f t="shared" si="6"/>
        <v>N/A</v>
      </c>
    </row>
    <row r="16" spans="2:12" ht="15" customHeight="1" x14ac:dyDescent="0.2">
      <c r="B16" s="34" t="s">
        <v>76</v>
      </c>
      <c r="C16" s="35"/>
      <c r="D16" s="36">
        <f t="shared" si="0"/>
        <v>0</v>
      </c>
      <c r="E16" s="35"/>
      <c r="F16" s="36">
        <f t="shared" si="1"/>
        <v>0</v>
      </c>
      <c r="G16" s="37" t="str">
        <f t="shared" si="2"/>
        <v>N/A</v>
      </c>
      <c r="H16" s="35"/>
      <c r="I16" s="36">
        <f t="shared" si="3"/>
        <v>0</v>
      </c>
      <c r="J16" s="36" t="str">
        <f t="shared" si="4"/>
        <v>N/A</v>
      </c>
      <c r="K16" s="38">
        <f t="shared" si="5"/>
        <v>6</v>
      </c>
      <c r="L16" s="39" t="str">
        <f t="shared" si="6"/>
        <v>N/A</v>
      </c>
    </row>
    <row r="17" spans="2:12" ht="15" customHeight="1" x14ac:dyDescent="0.2">
      <c r="B17" s="34" t="s">
        <v>77</v>
      </c>
      <c r="C17" s="35"/>
      <c r="D17" s="36">
        <f t="shared" si="0"/>
        <v>0</v>
      </c>
      <c r="E17" s="35"/>
      <c r="F17" s="36">
        <f t="shared" si="1"/>
        <v>0</v>
      </c>
      <c r="G17" s="37" t="str">
        <f t="shared" si="2"/>
        <v>N/A</v>
      </c>
      <c r="H17" s="35"/>
      <c r="I17" s="36">
        <f t="shared" si="3"/>
        <v>0</v>
      </c>
      <c r="J17" s="36" t="str">
        <f t="shared" si="4"/>
        <v>N/A</v>
      </c>
      <c r="K17" s="38">
        <f t="shared" si="5"/>
        <v>6</v>
      </c>
      <c r="L17" s="39" t="str">
        <f t="shared" si="6"/>
        <v>N/A</v>
      </c>
    </row>
    <row r="18" spans="2:12" ht="15" customHeight="1" x14ac:dyDescent="0.2">
      <c r="B18" s="27" t="s">
        <v>78</v>
      </c>
      <c r="C18" s="28">
        <f>SUM(C9:C17)</f>
        <v>0</v>
      </c>
      <c r="D18" s="28">
        <f>SUM(D9:D17)</f>
        <v>0</v>
      </c>
      <c r="E18" s="28">
        <f>SUM(E9:E17)</f>
        <v>0</v>
      </c>
      <c r="F18" s="40">
        <f t="shared" si="1"/>
        <v>0</v>
      </c>
      <c r="G18" s="41" t="str">
        <f t="shared" si="2"/>
        <v>N/A</v>
      </c>
      <c r="H18" s="28">
        <f>SUM(H9:H17)</f>
        <v>0</v>
      </c>
      <c r="I18" s="28">
        <f t="shared" si="3"/>
        <v>0</v>
      </c>
      <c r="J18" s="28" t="str">
        <f t="shared" si="4"/>
        <v>N/A</v>
      </c>
      <c r="K18" s="40">
        <f t="shared" si="5"/>
        <v>6</v>
      </c>
      <c r="L18" s="42" t="str">
        <f t="shared" si="6"/>
        <v>N/A</v>
      </c>
    </row>
    <row r="19" spans="2:12" ht="15.75" customHeight="1" x14ac:dyDescent="0.2">
      <c r="B19" s="9" t="s">
        <v>79</v>
      </c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2:12" ht="31.5" customHeight="1" x14ac:dyDescent="0.2"/>
    <row r="21" spans="2:12" ht="27.75" customHeight="1" x14ac:dyDescent="0.2">
      <c r="B21" s="8" t="s">
        <v>80</v>
      </c>
      <c r="C21" s="8"/>
      <c r="D21" s="8"/>
      <c r="E21" s="8"/>
      <c r="F21" s="8"/>
      <c r="G21" s="8"/>
      <c r="H21" s="8"/>
      <c r="I21" s="8"/>
      <c r="J21" s="8"/>
      <c r="K21" s="8"/>
      <c r="L21" s="8"/>
    </row>
    <row r="22" spans="2:12" ht="42" x14ac:dyDescent="0.2">
      <c r="B22" s="43" t="s">
        <v>81</v>
      </c>
      <c r="C22" s="43" t="s">
        <v>82</v>
      </c>
      <c r="D22" s="43" t="s">
        <v>83</v>
      </c>
      <c r="E22" s="43" t="s">
        <v>84</v>
      </c>
      <c r="F22" s="43" t="s">
        <v>85</v>
      </c>
      <c r="G22" s="43" t="s">
        <v>86</v>
      </c>
      <c r="L22" s="43" t="s">
        <v>68</v>
      </c>
    </row>
    <row r="23" spans="2:12" ht="27.75" customHeight="1" x14ac:dyDescent="0.2">
      <c r="B23" s="44" t="s">
        <v>87</v>
      </c>
      <c r="C23" s="45" t="s">
        <v>88</v>
      </c>
      <c r="D23" s="46">
        <v>500</v>
      </c>
      <c r="E23" s="46">
        <f t="shared" ref="E23:E30" si="7">D23*$K$5/$K$4</f>
        <v>250</v>
      </c>
      <c r="F23" s="46">
        <v>125</v>
      </c>
      <c r="G23" s="7">
        <f t="shared" ref="G23:G30" si="8">IF(E23=0,"N/A",F23/E23)</f>
        <v>0.5</v>
      </c>
      <c r="H23" s="7"/>
      <c r="I23" s="7"/>
      <c r="J23" s="7"/>
      <c r="K23" s="7"/>
      <c r="L23" s="39" t="str">
        <f t="shared" ref="L23:L30" si="9">IF(G23="N/A","N/A",IF(G23&gt;=0.9,"On Track",IF(G23&gt;=0.75,"Watch","Off Track")))</f>
        <v>Off Track</v>
      </c>
    </row>
    <row r="24" spans="2:12" ht="27.75" customHeight="1" x14ac:dyDescent="0.2">
      <c r="B24" s="44" t="s">
        <v>89</v>
      </c>
      <c r="C24" s="45" t="s">
        <v>88</v>
      </c>
      <c r="D24" s="46"/>
      <c r="E24" s="46">
        <f t="shared" si="7"/>
        <v>0</v>
      </c>
      <c r="F24" s="46"/>
      <c r="G24" s="7" t="str">
        <f t="shared" si="8"/>
        <v>N/A</v>
      </c>
      <c r="H24" s="7"/>
      <c r="I24" s="7"/>
      <c r="J24" s="7"/>
      <c r="K24" s="7"/>
      <c r="L24" s="39" t="str">
        <f t="shared" si="9"/>
        <v>N/A</v>
      </c>
    </row>
    <row r="25" spans="2:12" ht="27.75" customHeight="1" x14ac:dyDescent="0.2">
      <c r="B25" s="44" t="s">
        <v>90</v>
      </c>
      <c r="C25" s="45" t="s">
        <v>88</v>
      </c>
      <c r="D25" s="46"/>
      <c r="E25" s="46">
        <f t="shared" si="7"/>
        <v>0</v>
      </c>
      <c r="F25" s="46"/>
      <c r="G25" s="7" t="str">
        <f t="shared" si="8"/>
        <v>N/A</v>
      </c>
      <c r="H25" s="7"/>
      <c r="I25" s="7"/>
      <c r="J25" s="7"/>
      <c r="K25" s="7"/>
      <c r="L25" s="39" t="str">
        <f t="shared" si="9"/>
        <v>N/A</v>
      </c>
    </row>
    <row r="26" spans="2:12" ht="27.75" customHeight="1" x14ac:dyDescent="0.2">
      <c r="B26" s="44" t="s">
        <v>91</v>
      </c>
      <c r="C26" s="45" t="s">
        <v>88</v>
      </c>
      <c r="D26" s="46"/>
      <c r="E26" s="46">
        <f t="shared" si="7"/>
        <v>0</v>
      </c>
      <c r="F26" s="46"/>
      <c r="G26" s="7" t="str">
        <f t="shared" si="8"/>
        <v>N/A</v>
      </c>
      <c r="H26" s="7"/>
      <c r="I26" s="7"/>
      <c r="J26" s="7"/>
      <c r="K26" s="7"/>
      <c r="L26" s="39" t="str">
        <f t="shared" si="9"/>
        <v>N/A</v>
      </c>
    </row>
    <row r="27" spans="2:12" ht="27.75" customHeight="1" x14ac:dyDescent="0.2">
      <c r="B27" s="44" t="s">
        <v>92</v>
      </c>
      <c r="C27" s="45" t="s">
        <v>88</v>
      </c>
      <c r="D27" s="46"/>
      <c r="E27" s="46">
        <f t="shared" si="7"/>
        <v>0</v>
      </c>
      <c r="F27" s="46"/>
      <c r="G27" s="7" t="str">
        <f t="shared" si="8"/>
        <v>N/A</v>
      </c>
      <c r="H27" s="7"/>
      <c r="I27" s="7"/>
      <c r="J27" s="7"/>
      <c r="K27" s="7"/>
      <c r="L27" s="39" t="str">
        <f t="shared" si="9"/>
        <v>N/A</v>
      </c>
    </row>
    <row r="28" spans="2:12" ht="27.75" customHeight="1" x14ac:dyDescent="0.2">
      <c r="B28" s="44" t="s">
        <v>93</v>
      </c>
      <c r="C28" s="45" t="s">
        <v>88</v>
      </c>
      <c r="D28" s="46"/>
      <c r="E28" s="46">
        <f t="shared" si="7"/>
        <v>0</v>
      </c>
      <c r="F28" s="46"/>
      <c r="G28" s="7" t="str">
        <f t="shared" si="8"/>
        <v>N/A</v>
      </c>
      <c r="H28" s="7"/>
      <c r="I28" s="7"/>
      <c r="J28" s="7"/>
      <c r="K28" s="7"/>
      <c r="L28" s="39" t="str">
        <f t="shared" si="9"/>
        <v>N/A</v>
      </c>
    </row>
    <row r="29" spans="2:12" ht="27.75" customHeight="1" x14ac:dyDescent="0.2">
      <c r="B29" s="44" t="s">
        <v>94</v>
      </c>
      <c r="C29" s="45" t="s">
        <v>88</v>
      </c>
      <c r="D29" s="46"/>
      <c r="E29" s="46">
        <f t="shared" si="7"/>
        <v>0</v>
      </c>
      <c r="F29" s="46"/>
      <c r="G29" s="7" t="str">
        <f t="shared" si="8"/>
        <v>N/A</v>
      </c>
      <c r="H29" s="7"/>
      <c r="I29" s="7"/>
      <c r="J29" s="7"/>
      <c r="K29" s="7"/>
      <c r="L29" s="39" t="str">
        <f t="shared" si="9"/>
        <v>N/A</v>
      </c>
    </row>
    <row r="30" spans="2:12" ht="27.75" customHeight="1" x14ac:dyDescent="0.2">
      <c r="B30" s="44" t="s">
        <v>95</v>
      </c>
      <c r="C30" s="45" t="s">
        <v>88</v>
      </c>
      <c r="D30" s="46"/>
      <c r="E30" s="46">
        <f t="shared" si="7"/>
        <v>0</v>
      </c>
      <c r="F30" s="46"/>
      <c r="G30" s="7" t="str">
        <f t="shared" si="8"/>
        <v>N/A</v>
      </c>
      <c r="H30" s="7"/>
      <c r="I30" s="7"/>
      <c r="J30" s="7"/>
      <c r="K30" s="7"/>
      <c r="L30" s="39" t="str">
        <f t="shared" si="9"/>
        <v>N/A</v>
      </c>
    </row>
    <row r="31" spans="2:12" ht="21.75" customHeight="1" x14ac:dyDescent="0.2">
      <c r="B31" s="9" t="s">
        <v>96</v>
      </c>
      <c r="C31" s="9"/>
      <c r="D31" s="9"/>
      <c r="E31" s="9"/>
      <c r="F31" s="9"/>
      <c r="G31" s="9"/>
      <c r="H31" s="9"/>
      <c r="I31" s="9"/>
      <c r="J31" s="9"/>
      <c r="K31" s="9"/>
      <c r="L31" s="9"/>
    </row>
    <row r="33" spans="2:12" ht="15" customHeight="1" x14ac:dyDescent="0.2">
      <c r="B33" s="6" t="s">
        <v>97</v>
      </c>
      <c r="C33" s="6"/>
      <c r="D33" s="6"/>
      <c r="E33" s="6"/>
      <c r="F33" s="6"/>
      <c r="G33" s="6"/>
      <c r="H33" s="6"/>
      <c r="I33" s="6"/>
      <c r="J33" s="6"/>
      <c r="K33" s="6"/>
      <c r="L33" s="6"/>
    </row>
    <row r="34" spans="2:12" ht="15" customHeight="1" x14ac:dyDescent="0.2">
      <c r="B34" s="11" t="s">
        <v>98</v>
      </c>
      <c r="C34" s="11"/>
      <c r="D34" s="11"/>
      <c r="E34" s="47" t="str">
        <f>L18</f>
        <v>N/A</v>
      </c>
      <c r="F34" s="11" t="s">
        <v>99</v>
      </c>
      <c r="G34" s="11"/>
      <c r="H34" s="11"/>
      <c r="I34" s="11"/>
      <c r="J34" s="5" t="str">
        <f>COUNTIF(L9:L17,"Off Track")&amp;" of "&amp;COUNTA(L9:L17)</f>
        <v>0 of 9</v>
      </c>
      <c r="K34" s="5"/>
    </row>
    <row r="35" spans="2:12" ht="15" customHeight="1" x14ac:dyDescent="0.2">
      <c r="B35" s="11" t="s">
        <v>100</v>
      </c>
      <c r="C35" s="11"/>
      <c r="D35" s="11"/>
      <c r="E35" s="47" t="str">
        <f>IF(COUNTIF(L23:L30,"Off Track")&gt;0,"Off Track",IF(COUNTIF(L23:L30,"Watch")&gt;0,"Watch",IF(COUNTIF(L23:L30,"N/A")&gt;0,"N/A","On Track")))</f>
        <v>Off Track</v>
      </c>
      <c r="F35" s="11" t="s">
        <v>101</v>
      </c>
      <c r="G35" s="11"/>
      <c r="H35" s="11"/>
      <c r="I35" s="11"/>
      <c r="J35" s="5" t="str">
        <f>COUNTIF(L23:L30,"Off Track")&amp;" of "&amp;COUNTA(L23:L30)</f>
        <v>1 of 8</v>
      </c>
      <c r="K35" s="5"/>
    </row>
    <row r="36" spans="2:12" ht="21.75" customHeight="1" x14ac:dyDescent="0.2">
      <c r="B36" s="4" t="s">
        <v>102</v>
      </c>
      <c r="C36" s="4"/>
      <c r="D36" s="4"/>
      <c r="E36" s="48" t="str">
        <f>IF(OR(E34="Off Track",E35="Off Track"),"Off Track",IF(OR(E34="Off Track",E35="On Track"),"Watch",IF(OR(E34="Watch",E35="Watch"),"Watch",IF(OR(E34="On Track",E35="Watch"),"Watch",IF(OR(E34="Watch",E35="On Track"),"Watch",IF(OR(E34="N/A",E35="N/A"),"N/A","On Track"))))))</f>
        <v>Off Track</v>
      </c>
    </row>
    <row r="38" spans="2:12" ht="15" customHeight="1" x14ac:dyDescent="0.2">
      <c r="B38" s="15" t="s">
        <v>103</v>
      </c>
    </row>
    <row r="39" spans="2:12" ht="15" customHeight="1" x14ac:dyDescent="0.2">
      <c r="B39" s="3" t="s">
        <v>104</v>
      </c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2:12" ht="15" customHeight="1" x14ac:dyDescent="0.2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2:12" ht="15" customHeight="1" x14ac:dyDescent="0.2"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2:12" ht="15" customHeight="1" x14ac:dyDescent="0.2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</sheetData>
  <mergeCells count="24">
    <mergeCell ref="B36:D36"/>
    <mergeCell ref="B39:L42"/>
    <mergeCell ref="B33:L33"/>
    <mergeCell ref="B34:D34"/>
    <mergeCell ref="F34:I34"/>
    <mergeCell ref="J34:K34"/>
    <mergeCell ref="B35:D35"/>
    <mergeCell ref="F35:I35"/>
    <mergeCell ref="J35:K35"/>
    <mergeCell ref="G27:K27"/>
    <mergeCell ref="G28:K28"/>
    <mergeCell ref="G29:K29"/>
    <mergeCell ref="G30:K30"/>
    <mergeCell ref="B31:L31"/>
    <mergeCell ref="B21:L21"/>
    <mergeCell ref="G23:K23"/>
    <mergeCell ref="G24:K24"/>
    <mergeCell ref="G25:K25"/>
    <mergeCell ref="G26:K26"/>
    <mergeCell ref="B2:L2"/>
    <mergeCell ref="I4:J4"/>
    <mergeCell ref="I5:J5"/>
    <mergeCell ref="B7:K7"/>
    <mergeCell ref="B19:L19"/>
  </mergeCells>
  <conditionalFormatting sqref="E34:E36">
    <cfRule type="cellIs" dxfId="107" priority="10" operator="equal">
      <formula>"On Track"</formula>
    </cfRule>
    <cfRule type="cellIs" dxfId="106" priority="11" operator="equal">
      <formula>"Watch"</formula>
    </cfRule>
    <cfRule type="cellIs" dxfId="105" priority="12" operator="equal">
      <formula>"Off Track"</formula>
    </cfRule>
    <cfRule type="cellIs" dxfId="104" priority="13" operator="equal">
      <formula>"N/A"</formula>
    </cfRule>
  </conditionalFormatting>
  <conditionalFormatting sqref="L9:L18">
    <cfRule type="cellIs" dxfId="103" priority="2" operator="equal">
      <formula>"On Track"</formula>
    </cfRule>
    <cfRule type="cellIs" dxfId="102" priority="3" operator="equal">
      <formula>"Watch"</formula>
    </cfRule>
    <cfRule type="cellIs" dxfId="101" priority="4" operator="equal">
      <formula>"Off Track"</formula>
    </cfRule>
    <cfRule type="cellIs" dxfId="100" priority="5" operator="equal">
      <formula>"N/A"</formula>
    </cfRule>
  </conditionalFormatting>
  <conditionalFormatting sqref="L23:L30">
    <cfRule type="cellIs" dxfId="99" priority="6" operator="equal">
      <formula>"On Track"</formula>
    </cfRule>
    <cfRule type="cellIs" dxfId="98" priority="7" operator="equal">
      <formula>"Watch"</formula>
    </cfRule>
    <cfRule type="cellIs" dxfId="97" priority="8" operator="equal">
      <formula>"Off Track"</formula>
    </cfRule>
    <cfRule type="cellIs" dxfId="96" priority="9" operator="equal">
      <formula>"N/A"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L42"/>
  <sheetViews>
    <sheetView showGridLines="0" zoomScaleNormal="100" workbookViewId="0">
      <selection activeCell="C4" sqref="C4"/>
    </sheetView>
  </sheetViews>
  <sheetFormatPr baseColWidth="10" defaultColWidth="8.6640625" defaultRowHeight="15" x14ac:dyDescent="0.2"/>
  <cols>
    <col min="2" max="2" width="84.33203125" customWidth="1"/>
    <col min="3" max="3" width="19.1640625" customWidth="1"/>
    <col min="4" max="4" width="17.6640625" customWidth="1"/>
    <col min="5" max="5" width="13" customWidth="1"/>
    <col min="6" max="6" width="16" customWidth="1"/>
    <col min="7" max="7" width="13.5" customWidth="1"/>
    <col min="8" max="8" width="12.5" customWidth="1"/>
    <col min="9" max="9" width="11.6640625" customWidth="1"/>
    <col min="10" max="10" width="15.1640625" customWidth="1"/>
    <col min="11" max="11" width="9.83203125" customWidth="1"/>
    <col min="12" max="12" width="13" customWidth="1"/>
    <col min="13" max="13" width="4.83203125" customWidth="1"/>
  </cols>
  <sheetData>
    <row r="2" spans="2:12" ht="25.5" customHeight="1" x14ac:dyDescent="0.2">
      <c r="B2" s="12" t="s">
        <v>107</v>
      </c>
      <c r="C2" s="12"/>
      <c r="D2" s="12"/>
      <c r="E2" s="12"/>
      <c r="F2" s="12"/>
      <c r="G2" s="12"/>
      <c r="H2" s="12"/>
      <c r="I2" s="12"/>
      <c r="J2" s="12"/>
      <c r="K2" s="12"/>
      <c r="L2" s="12"/>
    </row>
    <row r="4" spans="2:12" ht="15" customHeight="1" x14ac:dyDescent="0.2">
      <c r="B4" s="15" t="s">
        <v>49</v>
      </c>
      <c r="C4" s="32" t="s">
        <v>108</v>
      </c>
      <c r="E4" s="15" t="s">
        <v>50</v>
      </c>
      <c r="G4" s="33">
        <f ca="1">TODAY()</f>
        <v>46202</v>
      </c>
      <c r="I4" s="11" t="s">
        <v>51</v>
      </c>
      <c r="J4" s="11"/>
      <c r="K4" s="32">
        <v>12</v>
      </c>
    </row>
    <row r="5" spans="2:12" ht="15" customHeight="1" x14ac:dyDescent="0.2">
      <c r="B5" s="15" t="s">
        <v>52</v>
      </c>
      <c r="C5" s="32" t="s">
        <v>109</v>
      </c>
      <c r="E5" s="15" t="s">
        <v>54</v>
      </c>
      <c r="G5" s="32" t="s">
        <v>55</v>
      </c>
      <c r="I5" s="11" t="s">
        <v>56</v>
      </c>
      <c r="J5" s="11"/>
      <c r="K5" s="32">
        <v>5</v>
      </c>
    </row>
    <row r="7" spans="2:12" ht="15.75" customHeight="1" x14ac:dyDescent="0.2">
      <c r="B7" s="10" t="s">
        <v>57</v>
      </c>
      <c r="C7" s="10"/>
      <c r="D7" s="10"/>
      <c r="E7" s="10"/>
      <c r="F7" s="10"/>
      <c r="G7" s="10"/>
      <c r="H7" s="10"/>
      <c r="I7" s="10"/>
      <c r="J7" s="10"/>
      <c r="K7" s="10"/>
    </row>
    <row r="8" spans="2:12" ht="31.5" customHeight="1" x14ac:dyDescent="0.2">
      <c r="B8" s="20" t="s">
        <v>58</v>
      </c>
      <c r="C8" s="20" t="s">
        <v>59</v>
      </c>
      <c r="D8" s="20" t="s">
        <v>60</v>
      </c>
      <c r="E8" s="20" t="s">
        <v>61</v>
      </c>
      <c r="F8" s="20" t="s">
        <v>62</v>
      </c>
      <c r="G8" s="20" t="s">
        <v>63</v>
      </c>
      <c r="H8" s="20" t="s">
        <v>64</v>
      </c>
      <c r="I8" s="20" t="s">
        <v>65</v>
      </c>
      <c r="J8" s="20" t="s">
        <v>66</v>
      </c>
      <c r="K8" s="20" t="s">
        <v>67</v>
      </c>
      <c r="L8" s="20" t="s">
        <v>68</v>
      </c>
    </row>
    <row r="9" spans="2:12" ht="15" customHeight="1" x14ac:dyDescent="0.2">
      <c r="B9" s="34" t="s">
        <v>69</v>
      </c>
      <c r="C9" s="35">
        <v>18000000</v>
      </c>
      <c r="D9" s="36">
        <f t="shared" ref="D9:D17" si="0">C9*$K$5/$K$4</f>
        <v>7500000</v>
      </c>
      <c r="E9" s="35">
        <v>6750000</v>
      </c>
      <c r="F9" s="36">
        <f t="shared" ref="F9:F18" si="1">E9-D9</f>
        <v>-750000</v>
      </c>
      <c r="G9" s="37">
        <f t="shared" ref="G9:G18" si="2">IF(D9=0,"N/A",F9/D9)</f>
        <v>-0.1</v>
      </c>
      <c r="H9" s="35">
        <v>1350000</v>
      </c>
      <c r="I9" s="36">
        <f t="shared" ref="I9:I18" si="3">IF($K$5=0,"N/A",E9/$K$5)</f>
        <v>1350000</v>
      </c>
      <c r="J9" s="36">
        <f t="shared" ref="J9:J18" si="4">IF(C9=0,"N/A",I9*$K$4)</f>
        <v>16200000</v>
      </c>
      <c r="K9" s="38">
        <f t="shared" ref="K9:K18" si="5">IF($K$4-$K$5&lt;0,0,$K$4-$K$5)</f>
        <v>7</v>
      </c>
      <c r="L9" s="39" t="str">
        <f t="shared" ref="L9:L18" si="6">IF(G9="N/A","N/A",IF(ABS(G9)&lt;=0.1,"On Track",IF(ABS(G9)&lt;=0.2,"Watch","Off Track")))</f>
        <v>On Track</v>
      </c>
    </row>
    <row r="10" spans="2:12" ht="15" customHeight="1" x14ac:dyDescent="0.2">
      <c r="B10" s="34" t="s">
        <v>70</v>
      </c>
      <c r="C10" s="35">
        <v>9000000</v>
      </c>
      <c r="D10" s="36">
        <f t="shared" si="0"/>
        <v>3750000</v>
      </c>
      <c r="E10" s="35">
        <v>3375000</v>
      </c>
      <c r="F10" s="36">
        <f t="shared" si="1"/>
        <v>-375000</v>
      </c>
      <c r="G10" s="37">
        <f t="shared" si="2"/>
        <v>-0.1</v>
      </c>
      <c r="H10" s="35">
        <v>675000</v>
      </c>
      <c r="I10" s="36">
        <f t="shared" si="3"/>
        <v>675000</v>
      </c>
      <c r="J10" s="36">
        <f t="shared" si="4"/>
        <v>8100000</v>
      </c>
      <c r="K10" s="38">
        <f t="shared" si="5"/>
        <v>7</v>
      </c>
      <c r="L10" s="39" t="str">
        <f t="shared" si="6"/>
        <v>On Track</v>
      </c>
    </row>
    <row r="11" spans="2:12" ht="15" customHeight="1" x14ac:dyDescent="0.2">
      <c r="B11" s="34" t="s">
        <v>71</v>
      </c>
      <c r="C11" s="35">
        <v>7500000</v>
      </c>
      <c r="D11" s="36">
        <f t="shared" si="0"/>
        <v>3125000</v>
      </c>
      <c r="E11" s="35">
        <v>2812500</v>
      </c>
      <c r="F11" s="36">
        <f t="shared" si="1"/>
        <v>-312500</v>
      </c>
      <c r="G11" s="37">
        <f t="shared" si="2"/>
        <v>-0.1</v>
      </c>
      <c r="H11" s="35">
        <v>562500</v>
      </c>
      <c r="I11" s="36">
        <f t="shared" si="3"/>
        <v>562500</v>
      </c>
      <c r="J11" s="36">
        <f t="shared" si="4"/>
        <v>6750000</v>
      </c>
      <c r="K11" s="38">
        <f t="shared" si="5"/>
        <v>7</v>
      </c>
      <c r="L11" s="39" t="str">
        <f t="shared" si="6"/>
        <v>On Track</v>
      </c>
    </row>
    <row r="12" spans="2:12" ht="15" customHeight="1" x14ac:dyDescent="0.2">
      <c r="B12" s="34" t="s">
        <v>72</v>
      </c>
      <c r="C12" s="35">
        <v>6000000</v>
      </c>
      <c r="D12" s="36">
        <f t="shared" si="0"/>
        <v>2500000</v>
      </c>
      <c r="E12" s="35">
        <v>2250000</v>
      </c>
      <c r="F12" s="36">
        <f t="shared" si="1"/>
        <v>-250000</v>
      </c>
      <c r="G12" s="37">
        <f t="shared" si="2"/>
        <v>-0.1</v>
      </c>
      <c r="H12" s="35">
        <v>450000</v>
      </c>
      <c r="I12" s="36">
        <f t="shared" si="3"/>
        <v>450000</v>
      </c>
      <c r="J12" s="36">
        <f t="shared" si="4"/>
        <v>5400000</v>
      </c>
      <c r="K12" s="38">
        <f t="shared" si="5"/>
        <v>7</v>
      </c>
      <c r="L12" s="39" t="str">
        <f t="shared" si="6"/>
        <v>On Track</v>
      </c>
    </row>
    <row r="13" spans="2:12" ht="15" customHeight="1" x14ac:dyDescent="0.2">
      <c r="B13" s="34" t="s">
        <v>73</v>
      </c>
      <c r="C13" s="35">
        <v>9500000</v>
      </c>
      <c r="D13" s="36">
        <f t="shared" si="0"/>
        <v>3958333.3333333335</v>
      </c>
      <c r="E13" s="35">
        <v>3562500</v>
      </c>
      <c r="F13" s="36">
        <f t="shared" si="1"/>
        <v>-395833.33333333349</v>
      </c>
      <c r="G13" s="37">
        <f t="shared" si="2"/>
        <v>-0.10000000000000003</v>
      </c>
      <c r="H13" s="35">
        <v>712500</v>
      </c>
      <c r="I13" s="36">
        <f t="shared" si="3"/>
        <v>712500</v>
      </c>
      <c r="J13" s="36">
        <f t="shared" si="4"/>
        <v>8550000</v>
      </c>
      <c r="K13" s="38">
        <f t="shared" si="5"/>
        <v>7</v>
      </c>
      <c r="L13" s="39" t="str">
        <f t="shared" si="6"/>
        <v>On Track</v>
      </c>
    </row>
    <row r="14" spans="2:12" ht="15" customHeight="1" x14ac:dyDescent="0.2">
      <c r="B14" s="34" t="s">
        <v>74</v>
      </c>
      <c r="C14" s="35">
        <v>4000000</v>
      </c>
      <c r="D14" s="36">
        <f t="shared" si="0"/>
        <v>1666666.6666666667</v>
      </c>
      <c r="E14" s="35">
        <v>1500000</v>
      </c>
      <c r="F14" s="36">
        <f t="shared" si="1"/>
        <v>-166666.66666666674</v>
      </c>
      <c r="G14" s="37">
        <f t="shared" si="2"/>
        <v>-0.10000000000000005</v>
      </c>
      <c r="H14" s="35">
        <v>300000</v>
      </c>
      <c r="I14" s="36">
        <f t="shared" si="3"/>
        <v>300000</v>
      </c>
      <c r="J14" s="36">
        <f t="shared" si="4"/>
        <v>3600000</v>
      </c>
      <c r="K14" s="38">
        <f t="shared" si="5"/>
        <v>7</v>
      </c>
      <c r="L14" s="39" t="str">
        <f t="shared" si="6"/>
        <v>On Track</v>
      </c>
    </row>
    <row r="15" spans="2:12" ht="15" customHeight="1" x14ac:dyDescent="0.2">
      <c r="B15" s="34" t="s">
        <v>75</v>
      </c>
      <c r="C15" s="35">
        <v>6500000</v>
      </c>
      <c r="D15" s="36">
        <f t="shared" si="0"/>
        <v>2708333.3333333335</v>
      </c>
      <c r="E15" s="35">
        <v>2437500</v>
      </c>
      <c r="F15" s="36">
        <f t="shared" si="1"/>
        <v>-270833.33333333349</v>
      </c>
      <c r="G15" s="37">
        <f t="shared" si="2"/>
        <v>-0.10000000000000005</v>
      </c>
      <c r="H15" s="35">
        <v>487500</v>
      </c>
      <c r="I15" s="36">
        <f t="shared" si="3"/>
        <v>487500</v>
      </c>
      <c r="J15" s="36">
        <f t="shared" si="4"/>
        <v>5850000</v>
      </c>
      <c r="K15" s="38">
        <f t="shared" si="5"/>
        <v>7</v>
      </c>
      <c r="L15" s="39" t="str">
        <f t="shared" si="6"/>
        <v>On Track</v>
      </c>
    </row>
    <row r="16" spans="2:12" ht="15" customHeight="1" x14ac:dyDescent="0.2">
      <c r="B16" s="34" t="s">
        <v>76</v>
      </c>
      <c r="C16" s="35">
        <v>3000000</v>
      </c>
      <c r="D16" s="36">
        <f t="shared" si="0"/>
        <v>1250000</v>
      </c>
      <c r="E16" s="35">
        <v>1125000</v>
      </c>
      <c r="F16" s="36">
        <f t="shared" si="1"/>
        <v>-125000</v>
      </c>
      <c r="G16" s="37">
        <f t="shared" si="2"/>
        <v>-0.1</v>
      </c>
      <c r="H16" s="35">
        <v>225000</v>
      </c>
      <c r="I16" s="36">
        <f t="shared" si="3"/>
        <v>225000</v>
      </c>
      <c r="J16" s="36">
        <f t="shared" si="4"/>
        <v>2700000</v>
      </c>
      <c r="K16" s="38">
        <f t="shared" si="5"/>
        <v>7</v>
      </c>
      <c r="L16" s="39" t="str">
        <f t="shared" si="6"/>
        <v>On Track</v>
      </c>
    </row>
    <row r="17" spans="2:12" ht="15" customHeight="1" x14ac:dyDescent="0.2">
      <c r="B17" s="34" t="s">
        <v>77</v>
      </c>
      <c r="C17" s="35">
        <v>5000000</v>
      </c>
      <c r="D17" s="36">
        <f t="shared" si="0"/>
        <v>2083333.3333333333</v>
      </c>
      <c r="E17" s="35">
        <v>1875000</v>
      </c>
      <c r="F17" s="36">
        <f t="shared" si="1"/>
        <v>-208333.33333333326</v>
      </c>
      <c r="G17" s="37">
        <f t="shared" si="2"/>
        <v>-9.9999999999999964E-2</v>
      </c>
      <c r="H17" s="35">
        <v>375000</v>
      </c>
      <c r="I17" s="36">
        <f t="shared" si="3"/>
        <v>375000</v>
      </c>
      <c r="J17" s="36">
        <f t="shared" si="4"/>
        <v>4500000</v>
      </c>
      <c r="K17" s="38">
        <f t="shared" si="5"/>
        <v>7</v>
      </c>
      <c r="L17" s="39" t="str">
        <f t="shared" si="6"/>
        <v>On Track</v>
      </c>
    </row>
    <row r="18" spans="2:12" ht="15" customHeight="1" x14ac:dyDescent="0.2">
      <c r="B18" s="27" t="s">
        <v>78</v>
      </c>
      <c r="C18" s="28">
        <f>SUM(C9:C17)</f>
        <v>68500000</v>
      </c>
      <c r="D18" s="28">
        <f>SUM(D9:D17)</f>
        <v>28541666.666666664</v>
      </c>
      <c r="E18" s="28">
        <f>SUM(E9:E17)</f>
        <v>25687500</v>
      </c>
      <c r="F18" s="40">
        <f t="shared" si="1"/>
        <v>-2854166.6666666642</v>
      </c>
      <c r="G18" s="41">
        <f t="shared" si="2"/>
        <v>-9.9999999999999922E-2</v>
      </c>
      <c r="H18" s="28">
        <f>SUM(H9:H17)</f>
        <v>5137500</v>
      </c>
      <c r="I18" s="28">
        <f t="shared" si="3"/>
        <v>5137500</v>
      </c>
      <c r="J18" s="28">
        <f t="shared" si="4"/>
        <v>61650000</v>
      </c>
      <c r="K18" s="40">
        <f t="shared" si="5"/>
        <v>7</v>
      </c>
      <c r="L18" s="42" t="str">
        <f t="shared" si="6"/>
        <v>On Track</v>
      </c>
    </row>
    <row r="19" spans="2:12" ht="15.75" customHeight="1" x14ac:dyDescent="0.2">
      <c r="B19" s="9" t="s">
        <v>79</v>
      </c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2:12" ht="31.5" customHeight="1" x14ac:dyDescent="0.2"/>
    <row r="21" spans="2:12" ht="27.75" customHeight="1" x14ac:dyDescent="0.2">
      <c r="B21" s="8" t="s">
        <v>80</v>
      </c>
      <c r="C21" s="8"/>
      <c r="D21" s="8"/>
      <c r="E21" s="8"/>
      <c r="F21" s="8"/>
      <c r="G21" s="8"/>
      <c r="H21" s="8"/>
      <c r="I21" s="8"/>
      <c r="J21" s="8"/>
      <c r="K21" s="8"/>
      <c r="L21" s="8"/>
    </row>
    <row r="22" spans="2:12" ht="31.5" customHeight="1" x14ac:dyDescent="0.2">
      <c r="B22" s="43" t="s">
        <v>81</v>
      </c>
      <c r="C22" s="43" t="s">
        <v>82</v>
      </c>
      <c r="D22" s="43" t="s">
        <v>83</v>
      </c>
      <c r="E22" s="43" t="s">
        <v>84</v>
      </c>
      <c r="F22" s="43" t="s">
        <v>85</v>
      </c>
      <c r="G22" s="43" t="s">
        <v>86</v>
      </c>
      <c r="L22" s="43" t="s">
        <v>68</v>
      </c>
    </row>
    <row r="23" spans="2:12" ht="27.75" customHeight="1" x14ac:dyDescent="0.2">
      <c r="B23" s="44" t="s">
        <v>87</v>
      </c>
      <c r="C23" s="45" t="s">
        <v>88</v>
      </c>
      <c r="D23" s="46">
        <v>1200</v>
      </c>
      <c r="E23" s="46">
        <f t="shared" ref="E23:E30" si="7">D23*$K$5/$K$4</f>
        <v>500</v>
      </c>
      <c r="F23" s="46">
        <v>460</v>
      </c>
      <c r="G23" s="7">
        <f t="shared" ref="G23:G30" si="8">IF(E23=0,"N/A",F23/E23)</f>
        <v>0.92</v>
      </c>
      <c r="H23" s="7"/>
      <c r="I23" s="7"/>
      <c r="J23" s="7"/>
      <c r="K23" s="7"/>
      <c r="L23" s="39" t="str">
        <f t="shared" ref="L23:L30" si="9">IF(G23="N/A","N/A",IF(G23&gt;=0.9,"On Track",IF(G23&gt;=0.75,"Watch","Off Track")))</f>
        <v>On Track</v>
      </c>
    </row>
    <row r="24" spans="2:12" ht="27.75" customHeight="1" x14ac:dyDescent="0.2">
      <c r="B24" s="44" t="s">
        <v>89</v>
      </c>
      <c r="C24" s="45" t="s">
        <v>88</v>
      </c>
      <c r="D24" s="46">
        <v>600</v>
      </c>
      <c r="E24" s="46">
        <f t="shared" si="7"/>
        <v>250</v>
      </c>
      <c r="F24" s="46">
        <v>230</v>
      </c>
      <c r="G24" s="7">
        <f t="shared" si="8"/>
        <v>0.92</v>
      </c>
      <c r="H24" s="7"/>
      <c r="I24" s="7"/>
      <c r="J24" s="7"/>
      <c r="K24" s="7"/>
      <c r="L24" s="39" t="str">
        <f t="shared" si="9"/>
        <v>On Track</v>
      </c>
    </row>
    <row r="25" spans="2:12" ht="27.75" customHeight="1" x14ac:dyDescent="0.2">
      <c r="B25" s="44" t="s">
        <v>90</v>
      </c>
      <c r="C25" s="45" t="s">
        <v>88</v>
      </c>
      <c r="D25" s="46">
        <v>900</v>
      </c>
      <c r="E25" s="46">
        <f t="shared" si="7"/>
        <v>375</v>
      </c>
      <c r="F25" s="46">
        <v>345</v>
      </c>
      <c r="G25" s="7">
        <f t="shared" si="8"/>
        <v>0.92</v>
      </c>
      <c r="H25" s="7"/>
      <c r="I25" s="7"/>
      <c r="J25" s="7"/>
      <c r="K25" s="7"/>
      <c r="L25" s="39" t="str">
        <f t="shared" si="9"/>
        <v>On Track</v>
      </c>
    </row>
    <row r="26" spans="2:12" ht="27.75" customHeight="1" x14ac:dyDescent="0.2">
      <c r="B26" s="44" t="s">
        <v>91</v>
      </c>
      <c r="C26" s="45" t="s">
        <v>88</v>
      </c>
      <c r="D26" s="46">
        <v>450</v>
      </c>
      <c r="E26" s="46">
        <f t="shared" si="7"/>
        <v>187.5</v>
      </c>
      <c r="F26" s="46">
        <v>172</v>
      </c>
      <c r="G26" s="7">
        <f t="shared" si="8"/>
        <v>0.91733333333333333</v>
      </c>
      <c r="H26" s="7"/>
      <c r="I26" s="7"/>
      <c r="J26" s="7"/>
      <c r="K26" s="7"/>
      <c r="L26" s="39" t="str">
        <f t="shared" si="9"/>
        <v>On Track</v>
      </c>
    </row>
    <row r="27" spans="2:12" ht="27.75" customHeight="1" x14ac:dyDescent="0.2">
      <c r="B27" s="44" t="s">
        <v>92</v>
      </c>
      <c r="C27" s="45" t="s">
        <v>88</v>
      </c>
      <c r="D27" s="46">
        <v>1500</v>
      </c>
      <c r="E27" s="46">
        <f t="shared" si="7"/>
        <v>625</v>
      </c>
      <c r="F27" s="46">
        <v>575</v>
      </c>
      <c r="G27" s="7">
        <f t="shared" si="8"/>
        <v>0.92</v>
      </c>
      <c r="H27" s="7"/>
      <c r="I27" s="7"/>
      <c r="J27" s="7"/>
      <c r="K27" s="7"/>
      <c r="L27" s="39" t="str">
        <f t="shared" si="9"/>
        <v>On Track</v>
      </c>
    </row>
    <row r="28" spans="2:12" ht="27.75" customHeight="1" x14ac:dyDescent="0.2">
      <c r="B28" s="44" t="s">
        <v>93</v>
      </c>
      <c r="C28" s="45" t="s">
        <v>88</v>
      </c>
      <c r="D28" s="46">
        <v>300</v>
      </c>
      <c r="E28" s="46">
        <f t="shared" si="7"/>
        <v>125</v>
      </c>
      <c r="F28" s="46">
        <v>115</v>
      </c>
      <c r="G28" s="7">
        <f t="shared" si="8"/>
        <v>0.92</v>
      </c>
      <c r="H28" s="7"/>
      <c r="I28" s="7"/>
      <c r="J28" s="7"/>
      <c r="K28" s="7"/>
      <c r="L28" s="39" t="str">
        <f t="shared" si="9"/>
        <v>On Track</v>
      </c>
    </row>
    <row r="29" spans="2:12" ht="27.75" customHeight="1" x14ac:dyDescent="0.2">
      <c r="B29" s="44" t="s">
        <v>94</v>
      </c>
      <c r="C29" s="45" t="s">
        <v>88</v>
      </c>
      <c r="D29" s="46">
        <v>750</v>
      </c>
      <c r="E29" s="46">
        <f t="shared" si="7"/>
        <v>312.5</v>
      </c>
      <c r="F29" s="46">
        <v>288</v>
      </c>
      <c r="G29" s="7">
        <f t="shared" si="8"/>
        <v>0.92159999999999997</v>
      </c>
      <c r="H29" s="7"/>
      <c r="I29" s="7"/>
      <c r="J29" s="7"/>
      <c r="K29" s="7"/>
      <c r="L29" s="39" t="str">
        <f t="shared" si="9"/>
        <v>On Track</v>
      </c>
    </row>
    <row r="30" spans="2:12" ht="27.75" customHeight="1" x14ac:dyDescent="0.2">
      <c r="B30" s="44" t="s">
        <v>95</v>
      </c>
      <c r="C30" s="45" t="s">
        <v>88</v>
      </c>
      <c r="D30" s="46">
        <v>200</v>
      </c>
      <c r="E30" s="46">
        <f t="shared" si="7"/>
        <v>83.333333333333329</v>
      </c>
      <c r="F30" s="46">
        <v>77</v>
      </c>
      <c r="G30" s="7">
        <f t="shared" si="8"/>
        <v>0.92400000000000004</v>
      </c>
      <c r="H30" s="7"/>
      <c r="I30" s="7"/>
      <c r="J30" s="7"/>
      <c r="K30" s="7"/>
      <c r="L30" s="39" t="str">
        <f t="shared" si="9"/>
        <v>On Track</v>
      </c>
    </row>
    <row r="31" spans="2:12" ht="21.75" customHeight="1" x14ac:dyDescent="0.2">
      <c r="B31" s="9" t="s">
        <v>96</v>
      </c>
      <c r="C31" s="9"/>
      <c r="D31" s="9"/>
      <c r="E31" s="9"/>
      <c r="F31" s="9"/>
      <c r="G31" s="9"/>
      <c r="H31" s="9"/>
      <c r="I31" s="9"/>
      <c r="J31" s="9"/>
      <c r="K31" s="9"/>
      <c r="L31" s="9"/>
    </row>
    <row r="33" spans="2:12" ht="15" customHeight="1" x14ac:dyDescent="0.2">
      <c r="B33" s="6" t="s">
        <v>97</v>
      </c>
      <c r="C33" s="6"/>
      <c r="D33" s="6"/>
      <c r="E33" s="6"/>
      <c r="F33" s="6"/>
      <c r="G33" s="6"/>
      <c r="H33" s="6"/>
      <c r="I33" s="6"/>
      <c r="J33" s="6"/>
      <c r="K33" s="6"/>
      <c r="L33" s="6"/>
    </row>
    <row r="34" spans="2:12" ht="15" customHeight="1" x14ac:dyDescent="0.2">
      <c r="B34" s="11" t="s">
        <v>98</v>
      </c>
      <c r="C34" s="11"/>
      <c r="D34" s="11"/>
      <c r="E34" s="47" t="str">
        <f>L18</f>
        <v>On Track</v>
      </c>
      <c r="F34" s="11" t="s">
        <v>99</v>
      </c>
      <c r="G34" s="11"/>
      <c r="H34" s="11"/>
      <c r="I34" s="11"/>
      <c r="J34" s="5" t="str">
        <f>COUNTIF(L9:L17,"Off Track")&amp;" of "&amp;COUNTA(L9:L17)</f>
        <v>0 of 9</v>
      </c>
      <c r="K34" s="5"/>
    </row>
    <row r="35" spans="2:12" ht="15" customHeight="1" x14ac:dyDescent="0.2">
      <c r="B35" s="11" t="s">
        <v>100</v>
      </c>
      <c r="C35" s="11"/>
      <c r="D35" s="11"/>
      <c r="E35" s="47" t="str">
        <f>IF(COUNTIF(L23:L30,"Off Track")&gt;0,"Off Track",IF(COUNTIF(L23:L30,"Watch")&gt;0,"Watch","On Track"))</f>
        <v>On Track</v>
      </c>
      <c r="F35" s="11" t="s">
        <v>101</v>
      </c>
      <c r="G35" s="11"/>
      <c r="H35" s="11"/>
      <c r="I35" s="11"/>
      <c r="J35" s="5" t="str">
        <f>COUNTIF(L23:L30,"Off Track")&amp;" of "&amp;COUNTA(L23:L30)</f>
        <v>0 of 8</v>
      </c>
      <c r="K35" s="5"/>
    </row>
    <row r="36" spans="2:12" ht="21.75" customHeight="1" x14ac:dyDescent="0.2">
      <c r="B36" s="4" t="s">
        <v>102</v>
      </c>
      <c r="C36" s="4"/>
      <c r="D36" s="4"/>
      <c r="E36" s="48" t="str">
        <f>IF(OR(E34="Off Track",E35="Off Track"),"Off Track",IF(OR(E34="Watch",E35="Watch"),"Watch","On Track"))</f>
        <v>On Track</v>
      </c>
    </row>
    <row r="38" spans="2:12" ht="15" customHeight="1" x14ac:dyDescent="0.2">
      <c r="B38" s="15" t="s">
        <v>103</v>
      </c>
    </row>
    <row r="39" spans="2:12" ht="15" customHeight="1" x14ac:dyDescent="0.2">
      <c r="B39" s="3" t="s">
        <v>104</v>
      </c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2:12" ht="15" customHeight="1" x14ac:dyDescent="0.2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2:12" ht="15" customHeight="1" x14ac:dyDescent="0.2"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2:12" ht="15" customHeight="1" x14ac:dyDescent="0.2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</sheetData>
  <mergeCells count="24">
    <mergeCell ref="B36:D36"/>
    <mergeCell ref="B39:L42"/>
    <mergeCell ref="B33:L33"/>
    <mergeCell ref="B34:D34"/>
    <mergeCell ref="F34:I34"/>
    <mergeCell ref="J34:K34"/>
    <mergeCell ref="B35:D35"/>
    <mergeCell ref="F35:I35"/>
    <mergeCell ref="J35:K35"/>
    <mergeCell ref="G27:K27"/>
    <mergeCell ref="G28:K28"/>
    <mergeCell ref="G29:K29"/>
    <mergeCell ref="G30:K30"/>
    <mergeCell ref="B31:L31"/>
    <mergeCell ref="B21:L21"/>
    <mergeCell ref="G23:K23"/>
    <mergeCell ref="G24:K24"/>
    <mergeCell ref="G25:K25"/>
    <mergeCell ref="G26:K26"/>
    <mergeCell ref="B2:L2"/>
    <mergeCell ref="I4:J4"/>
    <mergeCell ref="I5:J5"/>
    <mergeCell ref="B7:K7"/>
    <mergeCell ref="B19:L19"/>
  </mergeCells>
  <conditionalFormatting sqref="E34:E36">
    <cfRule type="cellIs" dxfId="95" priority="10" operator="equal">
      <formula>"On Track"</formula>
    </cfRule>
    <cfRule type="cellIs" dxfId="94" priority="11" operator="equal">
      <formula>"Watch"</formula>
    </cfRule>
    <cfRule type="cellIs" dxfId="93" priority="12" operator="equal">
      <formula>"Off Track"</formula>
    </cfRule>
    <cfRule type="cellIs" dxfId="92" priority="13" operator="equal">
      <formula>"N/A"</formula>
    </cfRule>
  </conditionalFormatting>
  <conditionalFormatting sqref="L9:L18">
    <cfRule type="cellIs" dxfId="91" priority="2" operator="equal">
      <formula>"On Track"</formula>
    </cfRule>
    <cfRule type="cellIs" dxfId="90" priority="3" operator="equal">
      <formula>"Watch"</formula>
    </cfRule>
    <cfRule type="cellIs" dxfId="89" priority="4" operator="equal">
      <formula>"Off Track"</formula>
    </cfRule>
    <cfRule type="cellIs" dxfId="88" priority="5" operator="equal">
      <formula>"N/A"</formula>
    </cfRule>
  </conditionalFormatting>
  <conditionalFormatting sqref="L23:L30">
    <cfRule type="cellIs" dxfId="87" priority="6" operator="equal">
      <formula>"On Track"</formula>
    </cfRule>
    <cfRule type="cellIs" dxfId="86" priority="7" operator="equal">
      <formula>"Watch"</formula>
    </cfRule>
    <cfRule type="cellIs" dxfId="85" priority="8" operator="equal">
      <formula>"Off Track"</formula>
    </cfRule>
    <cfRule type="cellIs" dxfId="84" priority="9" operator="equal">
      <formula>"N/A"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L42"/>
  <sheetViews>
    <sheetView showGridLines="0" zoomScaleNormal="100" workbookViewId="0"/>
  </sheetViews>
  <sheetFormatPr baseColWidth="10" defaultColWidth="8.6640625" defaultRowHeight="15" x14ac:dyDescent="0.2"/>
  <cols>
    <col min="2" max="2" width="84.33203125" customWidth="1"/>
    <col min="3" max="3" width="19.1640625" customWidth="1"/>
    <col min="4" max="4" width="17.6640625" customWidth="1"/>
    <col min="5" max="5" width="13" customWidth="1"/>
    <col min="6" max="6" width="16" customWidth="1"/>
    <col min="7" max="7" width="13.5" customWidth="1"/>
    <col min="8" max="8" width="12.5" customWidth="1"/>
    <col min="9" max="9" width="11.6640625" customWidth="1"/>
    <col min="10" max="10" width="15.1640625" customWidth="1"/>
    <col min="11" max="11" width="9.83203125" customWidth="1"/>
    <col min="12" max="12" width="13" customWidth="1"/>
    <col min="13" max="13" width="4.83203125" customWidth="1"/>
  </cols>
  <sheetData>
    <row r="2" spans="2:12" ht="25.5" customHeight="1" x14ac:dyDescent="0.2">
      <c r="B2" s="12" t="s">
        <v>110</v>
      </c>
      <c r="C2" s="12"/>
      <c r="D2" s="12"/>
      <c r="E2" s="12"/>
      <c r="F2" s="12"/>
      <c r="G2" s="12"/>
      <c r="H2" s="12"/>
      <c r="I2" s="12"/>
      <c r="J2" s="12"/>
      <c r="K2" s="12"/>
      <c r="L2" s="12"/>
    </row>
    <row r="4" spans="2:12" ht="15" customHeight="1" x14ac:dyDescent="0.2">
      <c r="B4" s="15" t="s">
        <v>49</v>
      </c>
      <c r="C4" s="32" t="s">
        <v>111</v>
      </c>
      <c r="E4" s="15" t="s">
        <v>50</v>
      </c>
      <c r="G4" s="33">
        <f ca="1">TODAY()</f>
        <v>46202</v>
      </c>
      <c r="I4" s="11" t="s">
        <v>51</v>
      </c>
      <c r="J4" s="11"/>
      <c r="K4" s="32">
        <v>24</v>
      </c>
    </row>
    <row r="5" spans="2:12" ht="15" customHeight="1" x14ac:dyDescent="0.2">
      <c r="B5" s="15" t="s">
        <v>52</v>
      </c>
      <c r="C5" s="32" t="s">
        <v>112</v>
      </c>
      <c r="E5" s="15" t="s">
        <v>54</v>
      </c>
      <c r="G5" s="32" t="s">
        <v>55</v>
      </c>
      <c r="I5" s="11" t="s">
        <v>56</v>
      </c>
      <c r="J5" s="11"/>
      <c r="K5" s="32">
        <v>10</v>
      </c>
    </row>
    <row r="7" spans="2:12" ht="15.75" customHeight="1" x14ac:dyDescent="0.2">
      <c r="B7" s="10" t="s">
        <v>57</v>
      </c>
      <c r="C7" s="10"/>
      <c r="D7" s="10"/>
      <c r="E7" s="10"/>
      <c r="F7" s="10"/>
      <c r="G7" s="10"/>
      <c r="H7" s="10"/>
      <c r="I7" s="10"/>
      <c r="J7" s="10"/>
      <c r="K7" s="10"/>
    </row>
    <row r="8" spans="2:12" ht="31.5" customHeight="1" x14ac:dyDescent="0.2">
      <c r="B8" s="20" t="s">
        <v>58</v>
      </c>
      <c r="C8" s="20" t="s">
        <v>59</v>
      </c>
      <c r="D8" s="20" t="s">
        <v>60</v>
      </c>
      <c r="E8" s="20" t="s">
        <v>61</v>
      </c>
      <c r="F8" s="20" t="s">
        <v>62</v>
      </c>
      <c r="G8" s="20" t="s">
        <v>63</v>
      </c>
      <c r="H8" s="20" t="s">
        <v>64</v>
      </c>
      <c r="I8" s="20" t="s">
        <v>65</v>
      </c>
      <c r="J8" s="20" t="s">
        <v>66</v>
      </c>
      <c r="K8" s="20" t="s">
        <v>67</v>
      </c>
      <c r="L8" s="20" t="s">
        <v>68</v>
      </c>
    </row>
    <row r="9" spans="2:12" ht="15" customHeight="1" x14ac:dyDescent="0.2">
      <c r="B9" s="34" t="s">
        <v>69</v>
      </c>
      <c r="C9" s="35">
        <v>18000000</v>
      </c>
      <c r="D9" s="36">
        <f t="shared" ref="D9:D17" si="0">C9*$K$5/$K$4</f>
        <v>7500000</v>
      </c>
      <c r="E9" s="35">
        <v>9375000</v>
      </c>
      <c r="F9" s="36">
        <f t="shared" ref="F9:F18" si="1">E9-D9</f>
        <v>1875000</v>
      </c>
      <c r="G9" s="37">
        <f t="shared" ref="G9:G18" si="2">IF(D9=0,"N/A",F9/D9)</f>
        <v>0.25</v>
      </c>
      <c r="H9" s="35">
        <v>937500</v>
      </c>
      <c r="I9" s="36">
        <f t="shared" ref="I9:I18" si="3">IF($K$5=0,"N/A",E9/$K$5)</f>
        <v>937500</v>
      </c>
      <c r="J9" s="36">
        <f t="shared" ref="J9:J18" si="4">IF(C9=0,"N/A",I9*$K$4)</f>
        <v>22500000</v>
      </c>
      <c r="K9" s="38">
        <f t="shared" ref="K9:K18" si="5">IF($K$4-$K$5&lt;0,0,$K$4-$K$5)</f>
        <v>14</v>
      </c>
      <c r="L9" s="39" t="str">
        <f t="shared" ref="L9:L18" si="6">IF(G9="N/A","N/A",IF(ABS(G9)&lt;=0.1,"On Track",IF(ABS(G9)&lt;=0.2,"Watch","Off Track")))</f>
        <v>Off Track</v>
      </c>
    </row>
    <row r="10" spans="2:12" ht="15" customHeight="1" x14ac:dyDescent="0.2">
      <c r="B10" s="34" t="s">
        <v>70</v>
      </c>
      <c r="C10" s="35">
        <v>9000000</v>
      </c>
      <c r="D10" s="36">
        <f t="shared" si="0"/>
        <v>3750000</v>
      </c>
      <c r="E10" s="35">
        <v>4687500</v>
      </c>
      <c r="F10" s="36">
        <f t="shared" si="1"/>
        <v>937500</v>
      </c>
      <c r="G10" s="37">
        <f t="shared" si="2"/>
        <v>0.25</v>
      </c>
      <c r="H10" s="35">
        <v>468750</v>
      </c>
      <c r="I10" s="36">
        <f t="shared" si="3"/>
        <v>468750</v>
      </c>
      <c r="J10" s="36">
        <f t="shared" si="4"/>
        <v>11250000</v>
      </c>
      <c r="K10" s="38">
        <f t="shared" si="5"/>
        <v>14</v>
      </c>
      <c r="L10" s="39" t="str">
        <f t="shared" si="6"/>
        <v>Off Track</v>
      </c>
    </row>
    <row r="11" spans="2:12" ht="15" customHeight="1" x14ac:dyDescent="0.2">
      <c r="B11" s="34" t="s">
        <v>71</v>
      </c>
      <c r="C11" s="35">
        <v>7500000</v>
      </c>
      <c r="D11" s="36">
        <f t="shared" si="0"/>
        <v>3125000</v>
      </c>
      <c r="E11" s="35">
        <v>3906250</v>
      </c>
      <c r="F11" s="36">
        <f t="shared" si="1"/>
        <v>781250</v>
      </c>
      <c r="G11" s="37">
        <f t="shared" si="2"/>
        <v>0.25</v>
      </c>
      <c r="H11" s="35">
        <v>390625</v>
      </c>
      <c r="I11" s="36">
        <f t="shared" si="3"/>
        <v>390625</v>
      </c>
      <c r="J11" s="36">
        <f t="shared" si="4"/>
        <v>9375000</v>
      </c>
      <c r="K11" s="38">
        <f t="shared" si="5"/>
        <v>14</v>
      </c>
      <c r="L11" s="39" t="str">
        <f t="shared" si="6"/>
        <v>Off Track</v>
      </c>
    </row>
    <row r="12" spans="2:12" ht="15" customHeight="1" x14ac:dyDescent="0.2">
      <c r="B12" s="34" t="s">
        <v>72</v>
      </c>
      <c r="C12" s="35">
        <v>6000000</v>
      </c>
      <c r="D12" s="36">
        <f t="shared" si="0"/>
        <v>2500000</v>
      </c>
      <c r="E12" s="35">
        <v>3125000</v>
      </c>
      <c r="F12" s="36">
        <f t="shared" si="1"/>
        <v>625000</v>
      </c>
      <c r="G12" s="37">
        <f t="shared" si="2"/>
        <v>0.25</v>
      </c>
      <c r="H12" s="35">
        <v>312500</v>
      </c>
      <c r="I12" s="36">
        <f t="shared" si="3"/>
        <v>312500</v>
      </c>
      <c r="J12" s="36">
        <f t="shared" si="4"/>
        <v>7500000</v>
      </c>
      <c r="K12" s="38">
        <f t="shared" si="5"/>
        <v>14</v>
      </c>
      <c r="L12" s="39" t="str">
        <f t="shared" si="6"/>
        <v>Off Track</v>
      </c>
    </row>
    <row r="13" spans="2:12" ht="15" customHeight="1" x14ac:dyDescent="0.2">
      <c r="B13" s="34" t="s">
        <v>73</v>
      </c>
      <c r="C13" s="35">
        <v>9500000</v>
      </c>
      <c r="D13" s="36">
        <f t="shared" si="0"/>
        <v>3958333.3333333335</v>
      </c>
      <c r="E13" s="35">
        <v>4947917</v>
      </c>
      <c r="F13" s="36">
        <f t="shared" si="1"/>
        <v>989583.66666666651</v>
      </c>
      <c r="G13" s="37">
        <f t="shared" si="2"/>
        <v>0.25000008421052627</v>
      </c>
      <c r="H13" s="35">
        <v>494792</v>
      </c>
      <c r="I13" s="36">
        <f t="shared" si="3"/>
        <v>494791.7</v>
      </c>
      <c r="J13" s="36">
        <f t="shared" si="4"/>
        <v>11875000.800000001</v>
      </c>
      <c r="K13" s="38">
        <f t="shared" si="5"/>
        <v>14</v>
      </c>
      <c r="L13" s="39" t="str">
        <f t="shared" si="6"/>
        <v>Off Track</v>
      </c>
    </row>
    <row r="14" spans="2:12" ht="15" customHeight="1" x14ac:dyDescent="0.2">
      <c r="B14" s="34" t="s">
        <v>74</v>
      </c>
      <c r="C14" s="35">
        <v>4000000</v>
      </c>
      <c r="D14" s="36">
        <f t="shared" si="0"/>
        <v>1666666.6666666667</v>
      </c>
      <c r="E14" s="35">
        <v>2083333</v>
      </c>
      <c r="F14" s="36">
        <f t="shared" si="1"/>
        <v>416666.33333333326</v>
      </c>
      <c r="G14" s="37">
        <f t="shared" si="2"/>
        <v>0.24999979999999994</v>
      </c>
      <c r="H14" s="35">
        <v>208333</v>
      </c>
      <c r="I14" s="36">
        <f t="shared" si="3"/>
        <v>208333.3</v>
      </c>
      <c r="J14" s="36">
        <f t="shared" si="4"/>
        <v>4999999.1999999993</v>
      </c>
      <c r="K14" s="38">
        <f t="shared" si="5"/>
        <v>14</v>
      </c>
      <c r="L14" s="39" t="str">
        <f t="shared" si="6"/>
        <v>Off Track</v>
      </c>
    </row>
    <row r="15" spans="2:12" ht="15" customHeight="1" x14ac:dyDescent="0.2">
      <c r="B15" s="34" t="s">
        <v>75</v>
      </c>
      <c r="C15" s="35">
        <v>6500000</v>
      </c>
      <c r="D15" s="36">
        <f t="shared" si="0"/>
        <v>2708333.3333333335</v>
      </c>
      <c r="E15" s="35">
        <v>3385417</v>
      </c>
      <c r="F15" s="36">
        <f t="shared" si="1"/>
        <v>677083.66666666651</v>
      </c>
      <c r="G15" s="37">
        <f t="shared" si="2"/>
        <v>0.25000012307692299</v>
      </c>
      <c r="H15" s="35">
        <v>338542</v>
      </c>
      <c r="I15" s="36">
        <f t="shared" si="3"/>
        <v>338541.7</v>
      </c>
      <c r="J15" s="36">
        <f t="shared" si="4"/>
        <v>8125000.8000000007</v>
      </c>
      <c r="K15" s="38">
        <f t="shared" si="5"/>
        <v>14</v>
      </c>
      <c r="L15" s="39" t="str">
        <f t="shared" si="6"/>
        <v>Off Track</v>
      </c>
    </row>
    <row r="16" spans="2:12" ht="15" customHeight="1" x14ac:dyDescent="0.2">
      <c r="B16" s="34" t="s">
        <v>76</v>
      </c>
      <c r="C16" s="35">
        <v>3000000</v>
      </c>
      <c r="D16" s="36">
        <f t="shared" si="0"/>
        <v>1250000</v>
      </c>
      <c r="E16" s="35">
        <v>1562500</v>
      </c>
      <c r="F16" s="36">
        <f t="shared" si="1"/>
        <v>312500</v>
      </c>
      <c r="G16" s="37">
        <f t="shared" si="2"/>
        <v>0.25</v>
      </c>
      <c r="H16" s="35">
        <v>156250</v>
      </c>
      <c r="I16" s="36">
        <f t="shared" si="3"/>
        <v>156250</v>
      </c>
      <c r="J16" s="36">
        <f t="shared" si="4"/>
        <v>3750000</v>
      </c>
      <c r="K16" s="38">
        <f t="shared" si="5"/>
        <v>14</v>
      </c>
      <c r="L16" s="39" t="str">
        <f t="shared" si="6"/>
        <v>Off Track</v>
      </c>
    </row>
    <row r="17" spans="2:12" ht="15" customHeight="1" x14ac:dyDescent="0.2">
      <c r="B17" s="34" t="s">
        <v>77</v>
      </c>
      <c r="C17" s="35">
        <v>5000000</v>
      </c>
      <c r="D17" s="36">
        <f t="shared" si="0"/>
        <v>2083333.3333333333</v>
      </c>
      <c r="E17" s="35">
        <v>2604167</v>
      </c>
      <c r="F17" s="36">
        <f t="shared" si="1"/>
        <v>520833.66666666674</v>
      </c>
      <c r="G17" s="37">
        <f t="shared" si="2"/>
        <v>0.25000016000000003</v>
      </c>
      <c r="H17" s="35">
        <v>260417</v>
      </c>
      <c r="I17" s="36">
        <f t="shared" si="3"/>
        <v>260416.7</v>
      </c>
      <c r="J17" s="36">
        <f t="shared" si="4"/>
        <v>6250000.8000000007</v>
      </c>
      <c r="K17" s="38">
        <f t="shared" si="5"/>
        <v>14</v>
      </c>
      <c r="L17" s="39" t="str">
        <f t="shared" si="6"/>
        <v>Off Track</v>
      </c>
    </row>
    <row r="18" spans="2:12" ht="15" customHeight="1" x14ac:dyDescent="0.2">
      <c r="B18" s="27" t="s">
        <v>78</v>
      </c>
      <c r="C18" s="28">
        <f>SUM(C9:C17)</f>
        <v>68500000</v>
      </c>
      <c r="D18" s="28">
        <f>SUM(D9:D17)</f>
        <v>28541666.666666664</v>
      </c>
      <c r="E18" s="28">
        <f>SUM(E9:E17)</f>
        <v>35677084</v>
      </c>
      <c r="F18" s="40">
        <f t="shared" si="1"/>
        <v>7135417.3333333358</v>
      </c>
      <c r="G18" s="41">
        <f t="shared" si="2"/>
        <v>0.25000002335766436</v>
      </c>
      <c r="H18" s="28">
        <f>SUM(H9:H17)</f>
        <v>3567709</v>
      </c>
      <c r="I18" s="28">
        <f t="shared" si="3"/>
        <v>3567708.4</v>
      </c>
      <c r="J18" s="28">
        <f t="shared" si="4"/>
        <v>85625001.599999994</v>
      </c>
      <c r="K18" s="40">
        <f t="shared" si="5"/>
        <v>14</v>
      </c>
      <c r="L18" s="42" t="str">
        <f t="shared" si="6"/>
        <v>Off Track</v>
      </c>
    </row>
    <row r="19" spans="2:12" ht="15.75" customHeight="1" x14ac:dyDescent="0.2">
      <c r="B19" s="9" t="s">
        <v>79</v>
      </c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2:12" ht="31.5" customHeight="1" x14ac:dyDescent="0.2"/>
    <row r="21" spans="2:12" ht="27.75" customHeight="1" x14ac:dyDescent="0.2">
      <c r="B21" s="8" t="s">
        <v>80</v>
      </c>
      <c r="C21" s="8"/>
      <c r="D21" s="8"/>
      <c r="E21" s="8"/>
      <c r="F21" s="8"/>
      <c r="G21" s="8"/>
      <c r="H21" s="8"/>
      <c r="I21" s="8"/>
      <c r="J21" s="8"/>
      <c r="K21" s="8"/>
      <c r="L21" s="8"/>
    </row>
    <row r="22" spans="2:12" ht="31.5" customHeight="1" x14ac:dyDescent="0.2">
      <c r="B22" s="43" t="s">
        <v>81</v>
      </c>
      <c r="C22" s="43" t="s">
        <v>82</v>
      </c>
      <c r="D22" s="43" t="s">
        <v>83</v>
      </c>
      <c r="E22" s="43" t="s">
        <v>84</v>
      </c>
      <c r="F22" s="43" t="s">
        <v>85</v>
      </c>
      <c r="G22" s="43" t="s">
        <v>86</v>
      </c>
      <c r="L22" s="43" t="s">
        <v>68</v>
      </c>
    </row>
    <row r="23" spans="2:12" ht="27.75" customHeight="1" x14ac:dyDescent="0.2">
      <c r="B23" s="44" t="s">
        <v>87</v>
      </c>
      <c r="C23" s="45" t="s">
        <v>88</v>
      </c>
      <c r="D23" s="46">
        <v>1200</v>
      </c>
      <c r="E23" s="46">
        <f t="shared" ref="E23:E30" si="7">D23*$K$5/$K$4</f>
        <v>500</v>
      </c>
      <c r="F23" s="46">
        <v>350</v>
      </c>
      <c r="G23" s="7">
        <f t="shared" ref="G23:G30" si="8">IF(E23=0,"N/A",F23/E23)</f>
        <v>0.7</v>
      </c>
      <c r="H23" s="7"/>
      <c r="I23" s="7"/>
      <c r="J23" s="7"/>
      <c r="K23" s="7"/>
      <c r="L23" s="39" t="str">
        <f t="shared" ref="L23:L30" si="9">IF(G23="N/A","N/A",IF(G23&gt;=0.9,"On Track",IF(G23&gt;=0.75,"Watch","Off Track")))</f>
        <v>Off Track</v>
      </c>
    </row>
    <row r="24" spans="2:12" ht="27.75" customHeight="1" x14ac:dyDescent="0.2">
      <c r="B24" s="44" t="s">
        <v>89</v>
      </c>
      <c r="C24" s="45" t="s">
        <v>88</v>
      </c>
      <c r="D24" s="46">
        <v>600</v>
      </c>
      <c r="E24" s="46">
        <f t="shared" si="7"/>
        <v>250</v>
      </c>
      <c r="F24" s="46">
        <v>175</v>
      </c>
      <c r="G24" s="7">
        <f t="shared" si="8"/>
        <v>0.7</v>
      </c>
      <c r="H24" s="7"/>
      <c r="I24" s="7"/>
      <c r="J24" s="7"/>
      <c r="K24" s="7"/>
      <c r="L24" s="39" t="str">
        <f t="shared" si="9"/>
        <v>Off Track</v>
      </c>
    </row>
    <row r="25" spans="2:12" ht="27.75" customHeight="1" x14ac:dyDescent="0.2">
      <c r="B25" s="44" t="s">
        <v>90</v>
      </c>
      <c r="C25" s="45" t="s">
        <v>88</v>
      </c>
      <c r="D25" s="46">
        <v>900</v>
      </c>
      <c r="E25" s="46">
        <f t="shared" si="7"/>
        <v>375</v>
      </c>
      <c r="F25" s="46">
        <v>262</v>
      </c>
      <c r="G25" s="7">
        <f t="shared" si="8"/>
        <v>0.69866666666666666</v>
      </c>
      <c r="H25" s="7"/>
      <c r="I25" s="7"/>
      <c r="J25" s="7"/>
      <c r="K25" s="7"/>
      <c r="L25" s="39" t="str">
        <f t="shared" si="9"/>
        <v>Off Track</v>
      </c>
    </row>
    <row r="26" spans="2:12" ht="27.75" customHeight="1" x14ac:dyDescent="0.2">
      <c r="B26" s="44" t="s">
        <v>91</v>
      </c>
      <c r="C26" s="45" t="s">
        <v>88</v>
      </c>
      <c r="D26" s="46">
        <v>450</v>
      </c>
      <c r="E26" s="46">
        <f t="shared" si="7"/>
        <v>187.5</v>
      </c>
      <c r="F26" s="46">
        <v>131</v>
      </c>
      <c r="G26" s="7">
        <f t="shared" si="8"/>
        <v>0.69866666666666666</v>
      </c>
      <c r="H26" s="7"/>
      <c r="I26" s="7"/>
      <c r="J26" s="7"/>
      <c r="K26" s="7"/>
      <c r="L26" s="39" t="str">
        <f t="shared" si="9"/>
        <v>Off Track</v>
      </c>
    </row>
    <row r="27" spans="2:12" ht="27.75" customHeight="1" x14ac:dyDescent="0.2">
      <c r="B27" s="44" t="s">
        <v>92</v>
      </c>
      <c r="C27" s="45" t="s">
        <v>88</v>
      </c>
      <c r="D27" s="46">
        <v>1500</v>
      </c>
      <c r="E27" s="46">
        <f t="shared" si="7"/>
        <v>625</v>
      </c>
      <c r="F27" s="46">
        <v>438</v>
      </c>
      <c r="G27" s="7">
        <f t="shared" si="8"/>
        <v>0.70079999999999998</v>
      </c>
      <c r="H27" s="7"/>
      <c r="I27" s="7"/>
      <c r="J27" s="7"/>
      <c r="K27" s="7"/>
      <c r="L27" s="39" t="str">
        <f t="shared" si="9"/>
        <v>Off Track</v>
      </c>
    </row>
    <row r="28" spans="2:12" ht="27.75" customHeight="1" x14ac:dyDescent="0.2">
      <c r="B28" s="44" t="s">
        <v>93</v>
      </c>
      <c r="C28" s="45" t="s">
        <v>88</v>
      </c>
      <c r="D28" s="46">
        <v>300</v>
      </c>
      <c r="E28" s="46">
        <f t="shared" si="7"/>
        <v>125</v>
      </c>
      <c r="F28" s="46">
        <v>88</v>
      </c>
      <c r="G28" s="7">
        <f t="shared" si="8"/>
        <v>0.70399999999999996</v>
      </c>
      <c r="H28" s="7"/>
      <c r="I28" s="7"/>
      <c r="J28" s="7"/>
      <c r="K28" s="7"/>
      <c r="L28" s="39" t="str">
        <f t="shared" si="9"/>
        <v>Off Track</v>
      </c>
    </row>
    <row r="29" spans="2:12" ht="27.75" customHeight="1" x14ac:dyDescent="0.2">
      <c r="B29" s="44" t="s">
        <v>94</v>
      </c>
      <c r="C29" s="45" t="s">
        <v>88</v>
      </c>
      <c r="D29" s="46">
        <v>750</v>
      </c>
      <c r="E29" s="46">
        <f t="shared" si="7"/>
        <v>312.5</v>
      </c>
      <c r="F29" s="46">
        <v>219</v>
      </c>
      <c r="G29" s="7">
        <f t="shared" si="8"/>
        <v>0.70079999999999998</v>
      </c>
      <c r="H29" s="7"/>
      <c r="I29" s="7"/>
      <c r="J29" s="7"/>
      <c r="K29" s="7"/>
      <c r="L29" s="39" t="str">
        <f t="shared" si="9"/>
        <v>Off Track</v>
      </c>
    </row>
    <row r="30" spans="2:12" ht="27.75" customHeight="1" x14ac:dyDescent="0.2">
      <c r="B30" s="44" t="s">
        <v>95</v>
      </c>
      <c r="C30" s="45" t="s">
        <v>88</v>
      </c>
      <c r="D30" s="46">
        <v>200</v>
      </c>
      <c r="E30" s="46">
        <f t="shared" si="7"/>
        <v>83.333333333333329</v>
      </c>
      <c r="F30" s="46">
        <v>58</v>
      </c>
      <c r="G30" s="7">
        <f t="shared" si="8"/>
        <v>0.69600000000000006</v>
      </c>
      <c r="H30" s="7"/>
      <c r="I30" s="7"/>
      <c r="J30" s="7"/>
      <c r="K30" s="7"/>
      <c r="L30" s="39" t="str">
        <f t="shared" si="9"/>
        <v>Off Track</v>
      </c>
    </row>
    <row r="31" spans="2:12" ht="21.75" customHeight="1" x14ac:dyDescent="0.2">
      <c r="B31" s="9" t="s">
        <v>96</v>
      </c>
      <c r="C31" s="9"/>
      <c r="D31" s="9"/>
      <c r="E31" s="9"/>
      <c r="F31" s="9"/>
      <c r="G31" s="9"/>
      <c r="H31" s="9"/>
      <c r="I31" s="9"/>
      <c r="J31" s="9"/>
      <c r="K31" s="9"/>
      <c r="L31" s="9"/>
    </row>
    <row r="33" spans="2:12" ht="15" customHeight="1" x14ac:dyDescent="0.2">
      <c r="B33" s="6" t="s">
        <v>97</v>
      </c>
      <c r="C33" s="6"/>
      <c r="D33" s="6"/>
      <c r="E33" s="6"/>
      <c r="F33" s="6"/>
      <c r="G33" s="6"/>
      <c r="H33" s="6"/>
      <c r="I33" s="6"/>
      <c r="J33" s="6"/>
      <c r="K33" s="6"/>
      <c r="L33" s="6"/>
    </row>
    <row r="34" spans="2:12" ht="15" customHeight="1" x14ac:dyDescent="0.2">
      <c r="B34" s="11" t="s">
        <v>98</v>
      </c>
      <c r="C34" s="11"/>
      <c r="D34" s="11"/>
      <c r="E34" s="47" t="str">
        <f>L18</f>
        <v>Off Track</v>
      </c>
      <c r="F34" s="11" t="s">
        <v>99</v>
      </c>
      <c r="G34" s="11"/>
      <c r="H34" s="11"/>
      <c r="I34" s="11"/>
      <c r="J34" s="5" t="str">
        <f>COUNTIF(L9:L17,"Off Track")&amp;" of "&amp;COUNTA(L9:L17)</f>
        <v>9 of 9</v>
      </c>
      <c r="K34" s="5"/>
    </row>
    <row r="35" spans="2:12" ht="15" customHeight="1" x14ac:dyDescent="0.2">
      <c r="B35" s="11" t="s">
        <v>100</v>
      </c>
      <c r="C35" s="11"/>
      <c r="D35" s="11"/>
      <c r="E35" s="47" t="str">
        <f>IF(COUNTIF(L23:L30,"Off Track")&gt;0,"Off Track",IF(COUNTIF(L23:L30,"Watch")&gt;0,"Watch","On Track"))</f>
        <v>Off Track</v>
      </c>
      <c r="F35" s="11" t="s">
        <v>101</v>
      </c>
      <c r="G35" s="11"/>
      <c r="H35" s="11"/>
      <c r="I35" s="11"/>
      <c r="J35" s="5" t="str">
        <f>COUNTIF(L23:L30,"Off Track")&amp;" of "&amp;COUNTA(L23:L30)</f>
        <v>8 of 8</v>
      </c>
      <c r="K35" s="5"/>
    </row>
    <row r="36" spans="2:12" ht="21.75" customHeight="1" x14ac:dyDescent="0.2">
      <c r="B36" s="4" t="s">
        <v>102</v>
      </c>
      <c r="C36" s="4"/>
      <c r="D36" s="4"/>
      <c r="E36" s="48" t="str">
        <f>IF(OR(E34="Off Track",E35="Off Track"),"Off Track",IF(OR(E34="Watch",E35="Watch"),"Watch","On Track"))</f>
        <v>Off Track</v>
      </c>
    </row>
    <row r="38" spans="2:12" ht="15" customHeight="1" x14ac:dyDescent="0.2">
      <c r="B38" s="15" t="s">
        <v>103</v>
      </c>
    </row>
    <row r="39" spans="2:12" ht="15" customHeight="1" x14ac:dyDescent="0.2">
      <c r="B39" s="3" t="s">
        <v>104</v>
      </c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2:12" ht="15" customHeight="1" x14ac:dyDescent="0.2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2:12" ht="15" customHeight="1" x14ac:dyDescent="0.2"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2:12" ht="15" customHeight="1" x14ac:dyDescent="0.2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</sheetData>
  <mergeCells count="24">
    <mergeCell ref="B36:D36"/>
    <mergeCell ref="B39:L42"/>
    <mergeCell ref="B33:L33"/>
    <mergeCell ref="B34:D34"/>
    <mergeCell ref="F34:I34"/>
    <mergeCell ref="J34:K34"/>
    <mergeCell ref="B35:D35"/>
    <mergeCell ref="F35:I35"/>
    <mergeCell ref="J35:K35"/>
    <mergeCell ref="G27:K27"/>
    <mergeCell ref="G28:K28"/>
    <mergeCell ref="G29:K29"/>
    <mergeCell ref="G30:K30"/>
    <mergeCell ref="B31:L31"/>
    <mergeCell ref="B21:L21"/>
    <mergeCell ref="G23:K23"/>
    <mergeCell ref="G24:K24"/>
    <mergeCell ref="G25:K25"/>
    <mergeCell ref="G26:K26"/>
    <mergeCell ref="B2:L2"/>
    <mergeCell ref="I4:J4"/>
    <mergeCell ref="I5:J5"/>
    <mergeCell ref="B7:K7"/>
    <mergeCell ref="B19:L19"/>
  </mergeCells>
  <conditionalFormatting sqref="E34:E36">
    <cfRule type="cellIs" dxfId="83" priority="10" operator="equal">
      <formula>"On Track"</formula>
    </cfRule>
    <cfRule type="cellIs" dxfId="82" priority="11" operator="equal">
      <formula>"Watch"</formula>
    </cfRule>
    <cfRule type="cellIs" dxfId="81" priority="12" operator="equal">
      <formula>"Off Track"</formula>
    </cfRule>
    <cfRule type="cellIs" dxfId="80" priority="13" operator="equal">
      <formula>"N/A"</formula>
    </cfRule>
  </conditionalFormatting>
  <conditionalFormatting sqref="L9:L18">
    <cfRule type="cellIs" dxfId="79" priority="2" operator="equal">
      <formula>"On Track"</formula>
    </cfRule>
    <cfRule type="cellIs" dxfId="78" priority="3" operator="equal">
      <formula>"Watch"</formula>
    </cfRule>
    <cfRule type="cellIs" dxfId="77" priority="4" operator="equal">
      <formula>"Off Track"</formula>
    </cfRule>
    <cfRule type="cellIs" dxfId="76" priority="5" operator="equal">
      <formula>"N/A"</formula>
    </cfRule>
  </conditionalFormatting>
  <conditionalFormatting sqref="L23:L30">
    <cfRule type="cellIs" dxfId="75" priority="6" operator="equal">
      <formula>"On Track"</formula>
    </cfRule>
    <cfRule type="cellIs" dxfId="74" priority="7" operator="equal">
      <formula>"Watch"</formula>
    </cfRule>
    <cfRule type="cellIs" dxfId="73" priority="8" operator="equal">
      <formula>"Off Track"</formula>
    </cfRule>
    <cfRule type="cellIs" dxfId="72" priority="9" operator="equal">
      <formula>"N/A"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L42"/>
  <sheetViews>
    <sheetView showGridLines="0" zoomScaleNormal="100" workbookViewId="0"/>
  </sheetViews>
  <sheetFormatPr baseColWidth="10" defaultColWidth="8.6640625" defaultRowHeight="15" x14ac:dyDescent="0.2"/>
  <cols>
    <col min="2" max="2" width="84.33203125" customWidth="1"/>
    <col min="3" max="3" width="19.1640625" customWidth="1"/>
    <col min="4" max="4" width="17.6640625" customWidth="1"/>
    <col min="5" max="5" width="13" customWidth="1"/>
    <col min="6" max="6" width="16" customWidth="1"/>
    <col min="7" max="7" width="13.5" customWidth="1"/>
    <col min="8" max="8" width="12.5" customWidth="1"/>
    <col min="9" max="9" width="11.6640625" customWidth="1"/>
    <col min="10" max="10" width="15.1640625" customWidth="1"/>
    <col min="11" max="11" width="9.83203125" customWidth="1"/>
    <col min="12" max="12" width="13" customWidth="1"/>
    <col min="13" max="13" width="4.83203125" customWidth="1"/>
  </cols>
  <sheetData>
    <row r="2" spans="2:12" ht="25.5" customHeight="1" x14ac:dyDescent="0.2">
      <c r="B2" s="12" t="s">
        <v>113</v>
      </c>
      <c r="C2" s="12"/>
      <c r="D2" s="12"/>
      <c r="E2" s="12"/>
      <c r="F2" s="12"/>
      <c r="G2" s="12"/>
      <c r="H2" s="12"/>
      <c r="I2" s="12"/>
      <c r="J2" s="12"/>
      <c r="K2" s="12"/>
      <c r="L2" s="12"/>
    </row>
    <row r="4" spans="2:12" ht="15" customHeight="1" x14ac:dyDescent="0.2">
      <c r="B4" s="15" t="s">
        <v>49</v>
      </c>
      <c r="C4" s="32" t="s">
        <v>114</v>
      </c>
      <c r="E4" s="15" t="s">
        <v>50</v>
      </c>
      <c r="G4" s="33">
        <f ca="1">TODAY()</f>
        <v>46202</v>
      </c>
      <c r="I4" s="11" t="s">
        <v>51</v>
      </c>
      <c r="J4" s="11"/>
      <c r="K4" s="32">
        <v>12</v>
      </c>
    </row>
    <row r="5" spans="2:12" ht="15" customHeight="1" x14ac:dyDescent="0.2">
      <c r="B5" s="15" t="s">
        <v>52</v>
      </c>
      <c r="C5" s="32" t="s">
        <v>115</v>
      </c>
      <c r="E5" s="15" t="s">
        <v>54</v>
      </c>
      <c r="G5" s="32" t="s">
        <v>55</v>
      </c>
      <c r="I5" s="11" t="s">
        <v>56</v>
      </c>
      <c r="J5" s="11"/>
      <c r="K5" s="32">
        <v>5</v>
      </c>
    </row>
    <row r="7" spans="2:12" ht="15.75" customHeight="1" x14ac:dyDescent="0.2">
      <c r="B7" s="10" t="s">
        <v>57</v>
      </c>
      <c r="C7" s="10"/>
      <c r="D7" s="10"/>
      <c r="E7" s="10"/>
      <c r="F7" s="10"/>
      <c r="G7" s="10"/>
      <c r="H7" s="10"/>
      <c r="I7" s="10"/>
      <c r="J7" s="10"/>
      <c r="K7" s="10"/>
    </row>
    <row r="8" spans="2:12" ht="31.5" customHeight="1" x14ac:dyDescent="0.2">
      <c r="B8" s="20" t="s">
        <v>58</v>
      </c>
      <c r="C8" s="20" t="s">
        <v>59</v>
      </c>
      <c r="D8" s="20" t="s">
        <v>60</v>
      </c>
      <c r="E8" s="20" t="s">
        <v>61</v>
      </c>
      <c r="F8" s="20" t="s">
        <v>62</v>
      </c>
      <c r="G8" s="20" t="s">
        <v>63</v>
      </c>
      <c r="H8" s="20" t="s">
        <v>64</v>
      </c>
      <c r="I8" s="20" t="s">
        <v>65</v>
      </c>
      <c r="J8" s="20" t="s">
        <v>66</v>
      </c>
      <c r="K8" s="20" t="s">
        <v>67</v>
      </c>
      <c r="L8" s="20" t="s">
        <v>68</v>
      </c>
    </row>
    <row r="9" spans="2:12" ht="15" customHeight="1" x14ac:dyDescent="0.2">
      <c r="B9" s="34" t="s">
        <v>69</v>
      </c>
      <c r="C9" s="35">
        <v>18000000</v>
      </c>
      <c r="D9" s="36">
        <f t="shared" ref="D9:D17" si="0">C9*$K$5/$K$4</f>
        <v>7500000</v>
      </c>
      <c r="E9" s="35">
        <v>7275000</v>
      </c>
      <c r="F9" s="36">
        <f t="shared" ref="F9:F18" si="1">E9-D9</f>
        <v>-225000</v>
      </c>
      <c r="G9" s="37">
        <f t="shared" ref="G9:G18" si="2">IF(D9=0,"N/A",F9/D9)</f>
        <v>-0.03</v>
      </c>
      <c r="H9" s="35">
        <v>1455000</v>
      </c>
      <c r="I9" s="36">
        <f t="shared" ref="I9:I18" si="3">IF($K$5=0,"N/A",E9/$K$5)</f>
        <v>1455000</v>
      </c>
      <c r="J9" s="36">
        <f t="shared" ref="J9:J18" si="4">IF(C9=0,"N/A",I9*$K$4)</f>
        <v>17460000</v>
      </c>
      <c r="K9" s="38">
        <f t="shared" ref="K9:K18" si="5">IF($K$4-$K$5&lt;0,0,$K$4-$K$5)</f>
        <v>7</v>
      </c>
      <c r="L9" s="39" t="str">
        <f t="shared" ref="L9:L18" si="6">IF(G9="N/A","N/A",IF(ABS(G9)&lt;=0.1,"On Track",IF(ABS(G9)&lt;=0.2,"Watch","Off Track")))</f>
        <v>On Track</v>
      </c>
    </row>
    <row r="10" spans="2:12" ht="15" customHeight="1" x14ac:dyDescent="0.2">
      <c r="B10" s="34" t="s">
        <v>70</v>
      </c>
      <c r="C10" s="35">
        <v>9000000</v>
      </c>
      <c r="D10" s="36">
        <f t="shared" si="0"/>
        <v>3750000</v>
      </c>
      <c r="E10" s="35">
        <v>3637500</v>
      </c>
      <c r="F10" s="36">
        <f t="shared" si="1"/>
        <v>-112500</v>
      </c>
      <c r="G10" s="37">
        <f t="shared" si="2"/>
        <v>-0.03</v>
      </c>
      <c r="H10" s="35">
        <v>727500</v>
      </c>
      <c r="I10" s="36">
        <f t="shared" si="3"/>
        <v>727500</v>
      </c>
      <c r="J10" s="36">
        <f t="shared" si="4"/>
        <v>8730000</v>
      </c>
      <c r="K10" s="38">
        <f t="shared" si="5"/>
        <v>7</v>
      </c>
      <c r="L10" s="39" t="str">
        <f t="shared" si="6"/>
        <v>On Track</v>
      </c>
    </row>
    <row r="11" spans="2:12" ht="15" customHeight="1" x14ac:dyDescent="0.2">
      <c r="B11" s="34" t="s">
        <v>71</v>
      </c>
      <c r="C11" s="35">
        <v>7500000</v>
      </c>
      <c r="D11" s="36">
        <f t="shared" si="0"/>
        <v>3125000</v>
      </c>
      <c r="E11" s="35">
        <v>3031250</v>
      </c>
      <c r="F11" s="36">
        <f t="shared" si="1"/>
        <v>-93750</v>
      </c>
      <c r="G11" s="37">
        <f t="shared" si="2"/>
        <v>-0.03</v>
      </c>
      <c r="H11" s="35">
        <v>606250</v>
      </c>
      <c r="I11" s="36">
        <f t="shared" si="3"/>
        <v>606250</v>
      </c>
      <c r="J11" s="36">
        <f t="shared" si="4"/>
        <v>7275000</v>
      </c>
      <c r="K11" s="38">
        <f t="shared" si="5"/>
        <v>7</v>
      </c>
      <c r="L11" s="39" t="str">
        <f t="shared" si="6"/>
        <v>On Track</v>
      </c>
    </row>
    <row r="12" spans="2:12" ht="15" customHeight="1" x14ac:dyDescent="0.2">
      <c r="B12" s="34" t="s">
        <v>72</v>
      </c>
      <c r="C12" s="35">
        <v>6000000</v>
      </c>
      <c r="D12" s="36">
        <f t="shared" si="0"/>
        <v>2500000</v>
      </c>
      <c r="E12" s="35">
        <v>2425000</v>
      </c>
      <c r="F12" s="36">
        <f t="shared" si="1"/>
        <v>-75000</v>
      </c>
      <c r="G12" s="37">
        <f t="shared" si="2"/>
        <v>-0.03</v>
      </c>
      <c r="H12" s="35">
        <v>485000</v>
      </c>
      <c r="I12" s="36">
        <f t="shared" si="3"/>
        <v>485000</v>
      </c>
      <c r="J12" s="36">
        <f t="shared" si="4"/>
        <v>5820000</v>
      </c>
      <c r="K12" s="38">
        <f t="shared" si="5"/>
        <v>7</v>
      </c>
      <c r="L12" s="39" t="str">
        <f t="shared" si="6"/>
        <v>On Track</v>
      </c>
    </row>
    <row r="13" spans="2:12" ht="15" customHeight="1" x14ac:dyDescent="0.2">
      <c r="B13" s="34" t="s">
        <v>73</v>
      </c>
      <c r="C13" s="35">
        <v>9500000</v>
      </c>
      <c r="D13" s="36">
        <f t="shared" si="0"/>
        <v>3958333.3333333335</v>
      </c>
      <c r="E13" s="35">
        <v>3839583</v>
      </c>
      <c r="F13" s="36">
        <f t="shared" si="1"/>
        <v>-118750.33333333349</v>
      </c>
      <c r="G13" s="37">
        <f t="shared" si="2"/>
        <v>-3.0000084210526353E-2</v>
      </c>
      <c r="H13" s="35">
        <v>767917</v>
      </c>
      <c r="I13" s="36">
        <f t="shared" si="3"/>
        <v>767916.6</v>
      </c>
      <c r="J13" s="36">
        <f t="shared" si="4"/>
        <v>9214999.1999999993</v>
      </c>
      <c r="K13" s="38">
        <f t="shared" si="5"/>
        <v>7</v>
      </c>
      <c r="L13" s="39" t="str">
        <f t="shared" si="6"/>
        <v>On Track</v>
      </c>
    </row>
    <row r="14" spans="2:12" ht="15" customHeight="1" x14ac:dyDescent="0.2">
      <c r="B14" s="34" t="s">
        <v>74</v>
      </c>
      <c r="C14" s="35">
        <v>4000000</v>
      </c>
      <c r="D14" s="36">
        <f t="shared" si="0"/>
        <v>1666666.6666666667</v>
      </c>
      <c r="E14" s="35">
        <v>1616667</v>
      </c>
      <c r="F14" s="36">
        <f t="shared" si="1"/>
        <v>-49999.666666666744</v>
      </c>
      <c r="G14" s="37">
        <f t="shared" si="2"/>
        <v>-2.9999800000000045E-2</v>
      </c>
      <c r="H14" s="35">
        <v>323333</v>
      </c>
      <c r="I14" s="36">
        <f t="shared" si="3"/>
        <v>323333.40000000002</v>
      </c>
      <c r="J14" s="36">
        <f t="shared" si="4"/>
        <v>3880000.8000000003</v>
      </c>
      <c r="K14" s="38">
        <f t="shared" si="5"/>
        <v>7</v>
      </c>
      <c r="L14" s="39" t="str">
        <f t="shared" si="6"/>
        <v>On Track</v>
      </c>
    </row>
    <row r="15" spans="2:12" ht="15" customHeight="1" x14ac:dyDescent="0.2">
      <c r="B15" s="34" t="s">
        <v>75</v>
      </c>
      <c r="C15" s="35">
        <v>6500000</v>
      </c>
      <c r="D15" s="36">
        <f t="shared" si="0"/>
        <v>2708333.3333333335</v>
      </c>
      <c r="E15" s="35">
        <v>2627083</v>
      </c>
      <c r="F15" s="36">
        <f t="shared" si="1"/>
        <v>-81250.333333333489</v>
      </c>
      <c r="G15" s="37">
        <f t="shared" si="2"/>
        <v>-3.0000123076923131E-2</v>
      </c>
      <c r="H15" s="35">
        <v>525417</v>
      </c>
      <c r="I15" s="36">
        <f t="shared" si="3"/>
        <v>525416.6</v>
      </c>
      <c r="J15" s="36">
        <f t="shared" si="4"/>
        <v>6304999.1999999993</v>
      </c>
      <c r="K15" s="38">
        <f t="shared" si="5"/>
        <v>7</v>
      </c>
      <c r="L15" s="39" t="str">
        <f t="shared" si="6"/>
        <v>On Track</v>
      </c>
    </row>
    <row r="16" spans="2:12" ht="15" customHeight="1" x14ac:dyDescent="0.2">
      <c r="B16" s="34" t="s">
        <v>76</v>
      </c>
      <c r="C16" s="35">
        <v>3000000</v>
      </c>
      <c r="D16" s="36">
        <f t="shared" si="0"/>
        <v>1250000</v>
      </c>
      <c r="E16" s="35">
        <v>1212500</v>
      </c>
      <c r="F16" s="36">
        <f t="shared" si="1"/>
        <v>-37500</v>
      </c>
      <c r="G16" s="37">
        <f t="shared" si="2"/>
        <v>-0.03</v>
      </c>
      <c r="H16" s="35">
        <v>242500</v>
      </c>
      <c r="I16" s="36">
        <f t="shared" si="3"/>
        <v>242500</v>
      </c>
      <c r="J16" s="36">
        <f t="shared" si="4"/>
        <v>2910000</v>
      </c>
      <c r="K16" s="38">
        <f t="shared" si="5"/>
        <v>7</v>
      </c>
      <c r="L16" s="39" t="str">
        <f t="shared" si="6"/>
        <v>On Track</v>
      </c>
    </row>
    <row r="17" spans="2:12" ht="15" customHeight="1" x14ac:dyDescent="0.2">
      <c r="B17" s="34" t="s">
        <v>77</v>
      </c>
      <c r="C17" s="35">
        <v>5000000</v>
      </c>
      <c r="D17" s="36">
        <f t="shared" si="0"/>
        <v>2083333.3333333333</v>
      </c>
      <c r="E17" s="35">
        <v>2020833</v>
      </c>
      <c r="F17" s="36">
        <f t="shared" si="1"/>
        <v>-62500.333333333256</v>
      </c>
      <c r="G17" s="37">
        <f t="shared" si="2"/>
        <v>-3.0000159999999963E-2</v>
      </c>
      <c r="H17" s="35">
        <v>404167</v>
      </c>
      <c r="I17" s="36">
        <f t="shared" si="3"/>
        <v>404166.6</v>
      </c>
      <c r="J17" s="36">
        <f t="shared" si="4"/>
        <v>4849999.1999999993</v>
      </c>
      <c r="K17" s="38">
        <f t="shared" si="5"/>
        <v>7</v>
      </c>
      <c r="L17" s="39" t="str">
        <f t="shared" si="6"/>
        <v>On Track</v>
      </c>
    </row>
    <row r="18" spans="2:12" ht="15" customHeight="1" x14ac:dyDescent="0.2">
      <c r="B18" s="27" t="s">
        <v>78</v>
      </c>
      <c r="C18" s="28">
        <f>SUM(C9:C17)</f>
        <v>68500000</v>
      </c>
      <c r="D18" s="28">
        <f>SUM(D9:D17)</f>
        <v>28541666.666666664</v>
      </c>
      <c r="E18" s="28">
        <f>SUM(E9:E17)</f>
        <v>27685416</v>
      </c>
      <c r="F18" s="40">
        <f t="shared" si="1"/>
        <v>-856250.66666666418</v>
      </c>
      <c r="G18" s="41">
        <f t="shared" si="2"/>
        <v>-3.0000023357664149E-2</v>
      </c>
      <c r="H18" s="28">
        <f>SUM(H9:H17)</f>
        <v>5537084</v>
      </c>
      <c r="I18" s="28">
        <f t="shared" si="3"/>
        <v>5537083.2000000002</v>
      </c>
      <c r="J18" s="28">
        <f t="shared" si="4"/>
        <v>66444998.400000006</v>
      </c>
      <c r="K18" s="40">
        <f t="shared" si="5"/>
        <v>7</v>
      </c>
      <c r="L18" s="42" t="str">
        <f t="shared" si="6"/>
        <v>On Track</v>
      </c>
    </row>
    <row r="19" spans="2:12" ht="15.75" customHeight="1" x14ac:dyDescent="0.2">
      <c r="B19" s="9" t="s">
        <v>79</v>
      </c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2:12" ht="31.5" customHeight="1" x14ac:dyDescent="0.2"/>
    <row r="21" spans="2:12" ht="27.75" customHeight="1" x14ac:dyDescent="0.2">
      <c r="B21" s="8" t="s">
        <v>80</v>
      </c>
      <c r="C21" s="8"/>
      <c r="D21" s="8"/>
      <c r="E21" s="8"/>
      <c r="F21" s="8"/>
      <c r="G21" s="8"/>
      <c r="H21" s="8"/>
      <c r="I21" s="8"/>
      <c r="J21" s="8"/>
      <c r="K21" s="8"/>
      <c r="L21" s="8"/>
    </row>
    <row r="22" spans="2:12" ht="31.5" customHeight="1" x14ac:dyDescent="0.2">
      <c r="B22" s="43" t="s">
        <v>81</v>
      </c>
      <c r="C22" s="43" t="s">
        <v>82</v>
      </c>
      <c r="D22" s="43" t="s">
        <v>83</v>
      </c>
      <c r="E22" s="43" t="s">
        <v>84</v>
      </c>
      <c r="F22" s="43" t="s">
        <v>85</v>
      </c>
      <c r="G22" s="43" t="s">
        <v>86</v>
      </c>
      <c r="L22" s="43" t="s">
        <v>68</v>
      </c>
    </row>
    <row r="23" spans="2:12" ht="27.75" customHeight="1" x14ac:dyDescent="0.2">
      <c r="B23" s="44" t="s">
        <v>87</v>
      </c>
      <c r="C23" s="45" t="s">
        <v>88</v>
      </c>
      <c r="D23" s="46">
        <v>1200</v>
      </c>
      <c r="E23" s="46">
        <f t="shared" ref="E23:E30" si="7">D23*$K$5/$K$4</f>
        <v>500</v>
      </c>
      <c r="F23" s="46">
        <v>440</v>
      </c>
      <c r="G23" s="7">
        <f t="shared" ref="G23:G30" si="8">IF(E23=0,"N/A",F23/E23)</f>
        <v>0.88</v>
      </c>
      <c r="H23" s="7"/>
      <c r="I23" s="7"/>
      <c r="J23" s="7"/>
      <c r="K23" s="7"/>
      <c r="L23" s="39" t="str">
        <f t="shared" ref="L23:L30" si="9">IF(G23="N/A","N/A",IF(G23&gt;=0.9,"On Track",IF(G23&gt;=0.75,"Watch","Off Track")))</f>
        <v>Watch</v>
      </c>
    </row>
    <row r="24" spans="2:12" ht="27.75" customHeight="1" x14ac:dyDescent="0.2">
      <c r="B24" s="44" t="s">
        <v>89</v>
      </c>
      <c r="C24" s="45" t="s">
        <v>88</v>
      </c>
      <c r="D24" s="46">
        <v>600</v>
      </c>
      <c r="E24" s="46">
        <f t="shared" si="7"/>
        <v>250</v>
      </c>
      <c r="F24" s="46">
        <v>220</v>
      </c>
      <c r="G24" s="7">
        <f t="shared" si="8"/>
        <v>0.88</v>
      </c>
      <c r="H24" s="7"/>
      <c r="I24" s="7"/>
      <c r="J24" s="7"/>
      <c r="K24" s="7"/>
      <c r="L24" s="39" t="str">
        <f t="shared" si="9"/>
        <v>Watch</v>
      </c>
    </row>
    <row r="25" spans="2:12" ht="27.75" customHeight="1" x14ac:dyDescent="0.2">
      <c r="B25" s="44" t="s">
        <v>90</v>
      </c>
      <c r="C25" s="45" t="s">
        <v>88</v>
      </c>
      <c r="D25" s="46">
        <v>900</v>
      </c>
      <c r="E25" s="46">
        <f t="shared" si="7"/>
        <v>375</v>
      </c>
      <c r="F25" s="46">
        <v>330</v>
      </c>
      <c r="G25" s="7">
        <f t="shared" si="8"/>
        <v>0.88</v>
      </c>
      <c r="H25" s="7"/>
      <c r="I25" s="7"/>
      <c r="J25" s="7"/>
      <c r="K25" s="7"/>
      <c r="L25" s="39" t="str">
        <f t="shared" si="9"/>
        <v>Watch</v>
      </c>
    </row>
    <row r="26" spans="2:12" ht="27.75" customHeight="1" x14ac:dyDescent="0.2">
      <c r="B26" s="44" t="s">
        <v>91</v>
      </c>
      <c r="C26" s="45" t="s">
        <v>88</v>
      </c>
      <c r="D26" s="46">
        <v>450</v>
      </c>
      <c r="E26" s="46">
        <f t="shared" si="7"/>
        <v>187.5</v>
      </c>
      <c r="F26" s="46">
        <v>165</v>
      </c>
      <c r="G26" s="7">
        <f t="shared" si="8"/>
        <v>0.88</v>
      </c>
      <c r="H26" s="7"/>
      <c r="I26" s="7"/>
      <c r="J26" s="7"/>
      <c r="K26" s="7"/>
      <c r="L26" s="39" t="str">
        <f t="shared" si="9"/>
        <v>Watch</v>
      </c>
    </row>
    <row r="27" spans="2:12" ht="27.75" customHeight="1" x14ac:dyDescent="0.2">
      <c r="B27" s="44" t="s">
        <v>92</v>
      </c>
      <c r="C27" s="45" t="s">
        <v>88</v>
      </c>
      <c r="D27" s="46">
        <v>1500</v>
      </c>
      <c r="E27" s="46">
        <f t="shared" si="7"/>
        <v>625</v>
      </c>
      <c r="F27" s="46">
        <v>550</v>
      </c>
      <c r="G27" s="7">
        <f t="shared" si="8"/>
        <v>0.88</v>
      </c>
      <c r="H27" s="7"/>
      <c r="I27" s="7"/>
      <c r="J27" s="7"/>
      <c r="K27" s="7"/>
      <c r="L27" s="39" t="str">
        <f t="shared" si="9"/>
        <v>Watch</v>
      </c>
    </row>
    <row r="28" spans="2:12" ht="27.75" customHeight="1" x14ac:dyDescent="0.2">
      <c r="B28" s="44" t="s">
        <v>93</v>
      </c>
      <c r="C28" s="45" t="s">
        <v>88</v>
      </c>
      <c r="D28" s="46">
        <v>300</v>
      </c>
      <c r="E28" s="46">
        <f t="shared" si="7"/>
        <v>125</v>
      </c>
      <c r="F28" s="46">
        <v>110</v>
      </c>
      <c r="G28" s="7">
        <f t="shared" si="8"/>
        <v>0.88</v>
      </c>
      <c r="H28" s="7"/>
      <c r="I28" s="7"/>
      <c r="J28" s="7"/>
      <c r="K28" s="7"/>
      <c r="L28" s="39" t="str">
        <f t="shared" si="9"/>
        <v>Watch</v>
      </c>
    </row>
    <row r="29" spans="2:12" ht="27.75" customHeight="1" x14ac:dyDescent="0.2">
      <c r="B29" s="44" t="s">
        <v>94</v>
      </c>
      <c r="C29" s="45" t="s">
        <v>88</v>
      </c>
      <c r="D29" s="46">
        <v>750</v>
      </c>
      <c r="E29" s="46">
        <f t="shared" si="7"/>
        <v>312.5</v>
      </c>
      <c r="F29" s="46">
        <v>275</v>
      </c>
      <c r="G29" s="7">
        <f t="shared" si="8"/>
        <v>0.88</v>
      </c>
      <c r="H29" s="7"/>
      <c r="I29" s="7"/>
      <c r="J29" s="7"/>
      <c r="K29" s="7"/>
      <c r="L29" s="39" t="str">
        <f t="shared" si="9"/>
        <v>Watch</v>
      </c>
    </row>
    <row r="30" spans="2:12" ht="27.75" customHeight="1" x14ac:dyDescent="0.2">
      <c r="B30" s="44" t="s">
        <v>95</v>
      </c>
      <c r="C30" s="45" t="s">
        <v>88</v>
      </c>
      <c r="D30" s="46">
        <v>200</v>
      </c>
      <c r="E30" s="46">
        <f t="shared" si="7"/>
        <v>83.333333333333329</v>
      </c>
      <c r="F30" s="46">
        <v>73</v>
      </c>
      <c r="G30" s="7">
        <f t="shared" si="8"/>
        <v>0.876</v>
      </c>
      <c r="H30" s="7"/>
      <c r="I30" s="7"/>
      <c r="J30" s="7"/>
      <c r="K30" s="7"/>
      <c r="L30" s="39" t="str">
        <f t="shared" si="9"/>
        <v>Watch</v>
      </c>
    </row>
    <row r="31" spans="2:12" ht="21.75" customHeight="1" x14ac:dyDescent="0.2">
      <c r="B31" s="9" t="s">
        <v>96</v>
      </c>
      <c r="C31" s="9"/>
      <c r="D31" s="9"/>
      <c r="E31" s="9"/>
      <c r="F31" s="9"/>
      <c r="G31" s="9"/>
      <c r="H31" s="9"/>
      <c r="I31" s="9"/>
      <c r="J31" s="9"/>
      <c r="K31" s="9"/>
      <c r="L31" s="9"/>
    </row>
    <row r="33" spans="2:12" ht="15" customHeight="1" x14ac:dyDescent="0.2">
      <c r="B33" s="6" t="s">
        <v>97</v>
      </c>
      <c r="C33" s="6"/>
      <c r="D33" s="6"/>
      <c r="E33" s="6"/>
      <c r="F33" s="6"/>
      <c r="G33" s="6"/>
      <c r="H33" s="6"/>
      <c r="I33" s="6"/>
      <c r="J33" s="6"/>
      <c r="K33" s="6"/>
      <c r="L33" s="6"/>
    </row>
    <row r="34" spans="2:12" ht="15" customHeight="1" x14ac:dyDescent="0.2">
      <c r="B34" s="11" t="s">
        <v>98</v>
      </c>
      <c r="C34" s="11"/>
      <c r="D34" s="11"/>
      <c r="E34" s="47" t="str">
        <f>L18</f>
        <v>On Track</v>
      </c>
      <c r="F34" s="11" t="s">
        <v>99</v>
      </c>
      <c r="G34" s="11"/>
      <c r="H34" s="11"/>
      <c r="I34" s="11"/>
      <c r="J34" s="5" t="str">
        <f>COUNTIF(L9:L17,"Off Track")&amp;" of "&amp;COUNTA(L9:L17)</f>
        <v>0 of 9</v>
      </c>
      <c r="K34" s="5"/>
    </row>
    <row r="35" spans="2:12" ht="15" customHeight="1" x14ac:dyDescent="0.2">
      <c r="B35" s="11" t="s">
        <v>100</v>
      </c>
      <c r="C35" s="11"/>
      <c r="D35" s="11"/>
      <c r="E35" s="47" t="str">
        <f>IF(COUNTIF(L23:L30,"Off Track")&gt;0,"Off Track",IF(COUNTIF(L23:L30,"Watch")&gt;0,"Watch","On Track"))</f>
        <v>Watch</v>
      </c>
      <c r="F35" s="11" t="s">
        <v>101</v>
      </c>
      <c r="G35" s="11"/>
      <c r="H35" s="11"/>
      <c r="I35" s="11"/>
      <c r="J35" s="5" t="str">
        <f>COUNTIF(L23:L30,"Off Track")&amp;" of "&amp;COUNTA(L23:L30)</f>
        <v>0 of 8</v>
      </c>
      <c r="K35" s="5"/>
    </row>
    <row r="36" spans="2:12" ht="21.75" customHeight="1" x14ac:dyDescent="0.2">
      <c r="B36" s="4" t="s">
        <v>102</v>
      </c>
      <c r="C36" s="4"/>
      <c r="D36" s="4"/>
      <c r="E36" s="48" t="str">
        <f>IF(OR(E34="Off Track",E35="Off Track"),"Off Track",IF(OR(E34="Watch",E35="Watch"),"Watch","On Track"))</f>
        <v>Watch</v>
      </c>
    </row>
    <row r="38" spans="2:12" ht="15" customHeight="1" x14ac:dyDescent="0.2">
      <c r="B38" s="15" t="s">
        <v>103</v>
      </c>
    </row>
    <row r="39" spans="2:12" ht="15" customHeight="1" x14ac:dyDescent="0.2">
      <c r="B39" s="3" t="s">
        <v>104</v>
      </c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2:12" ht="15" customHeight="1" x14ac:dyDescent="0.2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2:12" ht="15" customHeight="1" x14ac:dyDescent="0.2"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2:12" ht="15" customHeight="1" x14ac:dyDescent="0.2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</sheetData>
  <mergeCells count="24">
    <mergeCell ref="B36:D36"/>
    <mergeCell ref="B39:L42"/>
    <mergeCell ref="B33:L33"/>
    <mergeCell ref="B34:D34"/>
    <mergeCell ref="F34:I34"/>
    <mergeCell ref="J34:K34"/>
    <mergeCell ref="B35:D35"/>
    <mergeCell ref="F35:I35"/>
    <mergeCell ref="J35:K35"/>
    <mergeCell ref="G27:K27"/>
    <mergeCell ref="G28:K28"/>
    <mergeCell ref="G29:K29"/>
    <mergeCell ref="G30:K30"/>
    <mergeCell ref="B31:L31"/>
    <mergeCell ref="B21:L21"/>
    <mergeCell ref="G23:K23"/>
    <mergeCell ref="G24:K24"/>
    <mergeCell ref="G25:K25"/>
    <mergeCell ref="G26:K26"/>
    <mergeCell ref="B2:L2"/>
    <mergeCell ref="I4:J4"/>
    <mergeCell ref="I5:J5"/>
    <mergeCell ref="B7:K7"/>
    <mergeCell ref="B19:L19"/>
  </mergeCells>
  <conditionalFormatting sqref="E34:E36">
    <cfRule type="cellIs" dxfId="71" priority="10" operator="equal">
      <formula>"On Track"</formula>
    </cfRule>
    <cfRule type="cellIs" dxfId="70" priority="11" operator="equal">
      <formula>"Watch"</formula>
    </cfRule>
    <cfRule type="cellIs" dxfId="69" priority="12" operator="equal">
      <formula>"Off Track"</formula>
    </cfRule>
    <cfRule type="cellIs" dxfId="68" priority="13" operator="equal">
      <formula>"N/A"</formula>
    </cfRule>
  </conditionalFormatting>
  <conditionalFormatting sqref="L9:L18">
    <cfRule type="cellIs" dxfId="67" priority="2" operator="equal">
      <formula>"On Track"</formula>
    </cfRule>
    <cfRule type="cellIs" dxfId="66" priority="3" operator="equal">
      <formula>"Watch"</formula>
    </cfRule>
    <cfRule type="cellIs" dxfId="65" priority="4" operator="equal">
      <formula>"Off Track"</formula>
    </cfRule>
    <cfRule type="cellIs" dxfId="64" priority="5" operator="equal">
      <formula>"N/A"</formula>
    </cfRule>
  </conditionalFormatting>
  <conditionalFormatting sqref="L23:L30">
    <cfRule type="cellIs" dxfId="63" priority="6" operator="equal">
      <formula>"On Track"</formula>
    </cfRule>
    <cfRule type="cellIs" dxfId="62" priority="7" operator="equal">
      <formula>"Watch"</formula>
    </cfRule>
    <cfRule type="cellIs" dxfId="61" priority="8" operator="equal">
      <formula>"Off Track"</formula>
    </cfRule>
    <cfRule type="cellIs" dxfId="60" priority="9" operator="equal">
      <formula>"N/A"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L42"/>
  <sheetViews>
    <sheetView showGridLines="0" zoomScaleNormal="100" workbookViewId="0"/>
  </sheetViews>
  <sheetFormatPr baseColWidth="10" defaultColWidth="8.6640625" defaultRowHeight="15" x14ac:dyDescent="0.2"/>
  <cols>
    <col min="2" max="2" width="84.33203125" customWidth="1"/>
    <col min="3" max="3" width="19.1640625" customWidth="1"/>
    <col min="4" max="4" width="17.6640625" customWidth="1"/>
    <col min="5" max="5" width="13" customWidth="1"/>
    <col min="6" max="6" width="16" customWidth="1"/>
    <col min="7" max="7" width="13.5" customWidth="1"/>
    <col min="8" max="8" width="12.5" customWidth="1"/>
    <col min="9" max="9" width="11.6640625" customWidth="1"/>
    <col min="10" max="10" width="15.1640625" customWidth="1"/>
    <col min="11" max="11" width="9.83203125" customWidth="1"/>
    <col min="12" max="12" width="13" customWidth="1"/>
    <col min="13" max="13" width="4.83203125" customWidth="1"/>
  </cols>
  <sheetData>
    <row r="2" spans="2:12" ht="25.5" customHeight="1" x14ac:dyDescent="0.2">
      <c r="B2" s="12" t="s">
        <v>116</v>
      </c>
      <c r="C2" s="12"/>
      <c r="D2" s="12"/>
      <c r="E2" s="12"/>
      <c r="F2" s="12"/>
      <c r="G2" s="12"/>
      <c r="H2" s="12"/>
      <c r="I2" s="12"/>
      <c r="J2" s="12"/>
      <c r="K2" s="12"/>
      <c r="L2" s="12"/>
    </row>
    <row r="4" spans="2:12" ht="15" customHeight="1" x14ac:dyDescent="0.2">
      <c r="B4" s="15" t="s">
        <v>49</v>
      </c>
      <c r="C4" s="32" t="s">
        <v>114</v>
      </c>
      <c r="E4" s="15" t="s">
        <v>50</v>
      </c>
      <c r="G4" s="33">
        <f ca="1">TODAY()</f>
        <v>46202</v>
      </c>
      <c r="I4" s="11" t="s">
        <v>51</v>
      </c>
      <c r="J4" s="11"/>
      <c r="K4" s="32">
        <v>12</v>
      </c>
    </row>
    <row r="5" spans="2:12" ht="15" customHeight="1" x14ac:dyDescent="0.2">
      <c r="B5" s="15" t="s">
        <v>52</v>
      </c>
      <c r="C5" s="32" t="s">
        <v>117</v>
      </c>
      <c r="E5" s="15" t="s">
        <v>54</v>
      </c>
      <c r="G5" s="32" t="s">
        <v>55</v>
      </c>
      <c r="I5" s="11" t="s">
        <v>56</v>
      </c>
      <c r="J5" s="11"/>
      <c r="K5" s="32">
        <v>5</v>
      </c>
    </row>
    <row r="7" spans="2:12" ht="15.75" customHeight="1" x14ac:dyDescent="0.2">
      <c r="B7" s="10" t="s">
        <v>57</v>
      </c>
      <c r="C7" s="10"/>
      <c r="D7" s="10"/>
      <c r="E7" s="10"/>
      <c r="F7" s="10"/>
      <c r="G7" s="10"/>
      <c r="H7" s="10"/>
      <c r="I7" s="10"/>
      <c r="J7" s="10"/>
      <c r="K7" s="10"/>
    </row>
    <row r="8" spans="2:12" ht="31.5" customHeight="1" x14ac:dyDescent="0.2">
      <c r="B8" s="20" t="s">
        <v>58</v>
      </c>
      <c r="C8" s="20" t="s">
        <v>59</v>
      </c>
      <c r="D8" s="20" t="s">
        <v>60</v>
      </c>
      <c r="E8" s="20" t="s">
        <v>61</v>
      </c>
      <c r="F8" s="20" t="s">
        <v>62</v>
      </c>
      <c r="G8" s="20" t="s">
        <v>63</v>
      </c>
      <c r="H8" s="20" t="s">
        <v>64</v>
      </c>
      <c r="I8" s="20" t="s">
        <v>65</v>
      </c>
      <c r="J8" s="20" t="s">
        <v>66</v>
      </c>
      <c r="K8" s="20" t="s">
        <v>67</v>
      </c>
      <c r="L8" s="20" t="s">
        <v>68</v>
      </c>
    </row>
    <row r="9" spans="2:12" ht="15" customHeight="1" x14ac:dyDescent="0.2">
      <c r="B9" s="34" t="s">
        <v>69</v>
      </c>
      <c r="C9" s="35">
        <v>18000000</v>
      </c>
      <c r="D9" s="36">
        <f t="shared" ref="D9:D17" si="0">C9*$K$5/$K$4</f>
        <v>7500000</v>
      </c>
      <c r="E9" s="35">
        <v>7875000</v>
      </c>
      <c r="F9" s="36">
        <f t="shared" ref="F9:F18" si="1">E9-D9</f>
        <v>375000</v>
      </c>
      <c r="G9" s="37">
        <f t="shared" ref="G9:G18" si="2">IF(D9=0,"N/A",F9/D9)</f>
        <v>0.05</v>
      </c>
      <c r="H9" s="35">
        <v>1575000</v>
      </c>
      <c r="I9" s="36">
        <f t="shared" ref="I9:I18" si="3">IF($K$5=0,"N/A",E9/$K$5)</f>
        <v>1575000</v>
      </c>
      <c r="J9" s="36">
        <f t="shared" ref="J9:J18" si="4">IF(C9=0,"N/A",I9*$K$4)</f>
        <v>18900000</v>
      </c>
      <c r="K9" s="38">
        <f t="shared" ref="K9:K18" si="5">IF($K$4-$K$5&lt;0,0,$K$4-$K$5)</f>
        <v>7</v>
      </c>
      <c r="L9" s="39" t="str">
        <f t="shared" ref="L9:L18" si="6">IF(G9="N/A","N/A",IF(ABS(G9)&lt;=0.1,"On Track",IF(ABS(G9)&lt;=0.2,"Watch","Off Track")))</f>
        <v>On Track</v>
      </c>
    </row>
    <row r="10" spans="2:12" ht="15" customHeight="1" x14ac:dyDescent="0.2">
      <c r="B10" s="34" t="s">
        <v>70</v>
      </c>
      <c r="C10" s="35">
        <v>9000000</v>
      </c>
      <c r="D10" s="36">
        <f t="shared" si="0"/>
        <v>3750000</v>
      </c>
      <c r="E10" s="35">
        <v>3937500</v>
      </c>
      <c r="F10" s="36">
        <f t="shared" si="1"/>
        <v>187500</v>
      </c>
      <c r="G10" s="37">
        <f t="shared" si="2"/>
        <v>0.05</v>
      </c>
      <c r="H10" s="35">
        <v>787500</v>
      </c>
      <c r="I10" s="36">
        <f t="shared" si="3"/>
        <v>787500</v>
      </c>
      <c r="J10" s="36">
        <f t="shared" si="4"/>
        <v>9450000</v>
      </c>
      <c r="K10" s="38">
        <f t="shared" si="5"/>
        <v>7</v>
      </c>
      <c r="L10" s="39" t="str">
        <f t="shared" si="6"/>
        <v>On Track</v>
      </c>
    </row>
    <row r="11" spans="2:12" ht="15" customHeight="1" x14ac:dyDescent="0.2">
      <c r="B11" s="34" t="s">
        <v>71</v>
      </c>
      <c r="C11" s="35">
        <v>7500000</v>
      </c>
      <c r="D11" s="36">
        <f t="shared" si="0"/>
        <v>3125000</v>
      </c>
      <c r="E11" s="35">
        <v>3281250</v>
      </c>
      <c r="F11" s="36">
        <f t="shared" si="1"/>
        <v>156250</v>
      </c>
      <c r="G11" s="37">
        <f t="shared" si="2"/>
        <v>0.05</v>
      </c>
      <c r="H11" s="35">
        <v>656250</v>
      </c>
      <c r="I11" s="36">
        <f t="shared" si="3"/>
        <v>656250</v>
      </c>
      <c r="J11" s="36">
        <f t="shared" si="4"/>
        <v>7875000</v>
      </c>
      <c r="K11" s="38">
        <f t="shared" si="5"/>
        <v>7</v>
      </c>
      <c r="L11" s="39" t="str">
        <f t="shared" si="6"/>
        <v>On Track</v>
      </c>
    </row>
    <row r="12" spans="2:12" ht="15" customHeight="1" x14ac:dyDescent="0.2">
      <c r="B12" s="34" t="s">
        <v>72</v>
      </c>
      <c r="C12" s="35">
        <v>6000000</v>
      </c>
      <c r="D12" s="36">
        <f t="shared" si="0"/>
        <v>2500000</v>
      </c>
      <c r="E12" s="35">
        <v>2625000</v>
      </c>
      <c r="F12" s="36">
        <f t="shared" si="1"/>
        <v>125000</v>
      </c>
      <c r="G12" s="37">
        <f t="shared" si="2"/>
        <v>0.05</v>
      </c>
      <c r="H12" s="35">
        <v>525000</v>
      </c>
      <c r="I12" s="36">
        <f t="shared" si="3"/>
        <v>525000</v>
      </c>
      <c r="J12" s="36">
        <f t="shared" si="4"/>
        <v>6300000</v>
      </c>
      <c r="K12" s="38">
        <f t="shared" si="5"/>
        <v>7</v>
      </c>
      <c r="L12" s="39" t="str">
        <f t="shared" si="6"/>
        <v>On Track</v>
      </c>
    </row>
    <row r="13" spans="2:12" ht="15" customHeight="1" x14ac:dyDescent="0.2">
      <c r="B13" s="34" t="s">
        <v>73</v>
      </c>
      <c r="C13" s="35">
        <v>9500000</v>
      </c>
      <c r="D13" s="36">
        <f t="shared" si="0"/>
        <v>3958333.3333333335</v>
      </c>
      <c r="E13" s="35">
        <v>4156250</v>
      </c>
      <c r="F13" s="36">
        <f t="shared" si="1"/>
        <v>197916.66666666651</v>
      </c>
      <c r="G13" s="37">
        <f t="shared" si="2"/>
        <v>4.9999999999999961E-2</v>
      </c>
      <c r="H13" s="35">
        <v>831250</v>
      </c>
      <c r="I13" s="36">
        <f t="shared" si="3"/>
        <v>831250</v>
      </c>
      <c r="J13" s="36">
        <f t="shared" si="4"/>
        <v>9975000</v>
      </c>
      <c r="K13" s="38">
        <f t="shared" si="5"/>
        <v>7</v>
      </c>
      <c r="L13" s="39" t="str">
        <f t="shared" si="6"/>
        <v>On Track</v>
      </c>
    </row>
    <row r="14" spans="2:12" ht="15" customHeight="1" x14ac:dyDescent="0.2">
      <c r="B14" s="34" t="s">
        <v>74</v>
      </c>
      <c r="C14" s="35">
        <v>4000000</v>
      </c>
      <c r="D14" s="36">
        <f t="shared" si="0"/>
        <v>1666666.6666666667</v>
      </c>
      <c r="E14" s="35">
        <v>1750000</v>
      </c>
      <c r="F14" s="36">
        <f t="shared" si="1"/>
        <v>83333.333333333256</v>
      </c>
      <c r="G14" s="37">
        <f t="shared" si="2"/>
        <v>4.9999999999999954E-2</v>
      </c>
      <c r="H14" s="35">
        <v>350000</v>
      </c>
      <c r="I14" s="36">
        <f t="shared" si="3"/>
        <v>350000</v>
      </c>
      <c r="J14" s="36">
        <f t="shared" si="4"/>
        <v>4200000</v>
      </c>
      <c r="K14" s="38">
        <f t="shared" si="5"/>
        <v>7</v>
      </c>
      <c r="L14" s="39" t="str">
        <f t="shared" si="6"/>
        <v>On Track</v>
      </c>
    </row>
    <row r="15" spans="2:12" ht="15" customHeight="1" x14ac:dyDescent="0.2">
      <c r="B15" s="34" t="s">
        <v>75</v>
      </c>
      <c r="C15" s="35">
        <v>6500000</v>
      </c>
      <c r="D15" s="36">
        <f t="shared" si="0"/>
        <v>2708333.3333333335</v>
      </c>
      <c r="E15" s="35">
        <v>2843750</v>
      </c>
      <c r="F15" s="36">
        <f t="shared" si="1"/>
        <v>135416.66666666651</v>
      </c>
      <c r="G15" s="37">
        <f t="shared" si="2"/>
        <v>4.999999999999994E-2</v>
      </c>
      <c r="H15" s="35">
        <v>568750</v>
      </c>
      <c r="I15" s="36">
        <f t="shared" si="3"/>
        <v>568750</v>
      </c>
      <c r="J15" s="36">
        <f t="shared" si="4"/>
        <v>6825000</v>
      </c>
      <c r="K15" s="38">
        <f t="shared" si="5"/>
        <v>7</v>
      </c>
      <c r="L15" s="39" t="str">
        <f t="shared" si="6"/>
        <v>On Track</v>
      </c>
    </row>
    <row r="16" spans="2:12" ht="15" customHeight="1" x14ac:dyDescent="0.2">
      <c r="B16" s="34" t="s">
        <v>76</v>
      </c>
      <c r="C16" s="35">
        <v>3000000</v>
      </c>
      <c r="D16" s="36">
        <f t="shared" si="0"/>
        <v>1250000</v>
      </c>
      <c r="E16" s="35">
        <v>1312500</v>
      </c>
      <c r="F16" s="36">
        <f t="shared" si="1"/>
        <v>62500</v>
      </c>
      <c r="G16" s="37">
        <f t="shared" si="2"/>
        <v>0.05</v>
      </c>
      <c r="H16" s="35">
        <v>262500</v>
      </c>
      <c r="I16" s="36">
        <f t="shared" si="3"/>
        <v>262500</v>
      </c>
      <c r="J16" s="36">
        <f t="shared" si="4"/>
        <v>3150000</v>
      </c>
      <c r="K16" s="38">
        <f t="shared" si="5"/>
        <v>7</v>
      </c>
      <c r="L16" s="39" t="str">
        <f t="shared" si="6"/>
        <v>On Track</v>
      </c>
    </row>
    <row r="17" spans="2:12" ht="15" customHeight="1" x14ac:dyDescent="0.2">
      <c r="B17" s="34" t="s">
        <v>77</v>
      </c>
      <c r="C17" s="35">
        <v>5000000</v>
      </c>
      <c r="D17" s="36">
        <f t="shared" si="0"/>
        <v>2083333.3333333333</v>
      </c>
      <c r="E17" s="35">
        <v>2187500</v>
      </c>
      <c r="F17" s="36">
        <f t="shared" si="1"/>
        <v>104166.66666666674</v>
      </c>
      <c r="G17" s="37">
        <f t="shared" si="2"/>
        <v>5.0000000000000037E-2</v>
      </c>
      <c r="H17" s="35">
        <v>437500</v>
      </c>
      <c r="I17" s="36">
        <f t="shared" si="3"/>
        <v>437500</v>
      </c>
      <c r="J17" s="36">
        <f t="shared" si="4"/>
        <v>5250000</v>
      </c>
      <c r="K17" s="38">
        <f t="shared" si="5"/>
        <v>7</v>
      </c>
      <c r="L17" s="39" t="str">
        <f t="shared" si="6"/>
        <v>On Track</v>
      </c>
    </row>
    <row r="18" spans="2:12" ht="15" customHeight="1" x14ac:dyDescent="0.2">
      <c r="B18" s="27" t="s">
        <v>78</v>
      </c>
      <c r="C18" s="28">
        <f>SUM(C9:C17)</f>
        <v>68500000</v>
      </c>
      <c r="D18" s="28">
        <f>SUM(D9:D17)</f>
        <v>28541666.666666664</v>
      </c>
      <c r="E18" s="28">
        <f>SUM(E9:E17)</f>
        <v>29968750</v>
      </c>
      <c r="F18" s="40">
        <f t="shared" si="1"/>
        <v>1427083.3333333358</v>
      </c>
      <c r="G18" s="41">
        <f t="shared" si="2"/>
        <v>5.0000000000000093E-2</v>
      </c>
      <c r="H18" s="28">
        <f>SUM(H9:H17)</f>
        <v>5993750</v>
      </c>
      <c r="I18" s="28">
        <f t="shared" si="3"/>
        <v>5993750</v>
      </c>
      <c r="J18" s="28">
        <f t="shared" si="4"/>
        <v>71925000</v>
      </c>
      <c r="K18" s="40">
        <f t="shared" si="5"/>
        <v>7</v>
      </c>
      <c r="L18" s="42" t="str">
        <f t="shared" si="6"/>
        <v>On Track</v>
      </c>
    </row>
    <row r="19" spans="2:12" ht="15.75" customHeight="1" x14ac:dyDescent="0.2">
      <c r="B19" s="9" t="s">
        <v>79</v>
      </c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2:12" ht="31.5" customHeight="1" x14ac:dyDescent="0.2"/>
    <row r="21" spans="2:12" ht="27.75" customHeight="1" x14ac:dyDescent="0.2">
      <c r="B21" s="8" t="s">
        <v>80</v>
      </c>
      <c r="C21" s="8"/>
      <c r="D21" s="8"/>
      <c r="E21" s="8"/>
      <c r="F21" s="8"/>
      <c r="G21" s="8"/>
      <c r="H21" s="8"/>
      <c r="I21" s="8"/>
      <c r="J21" s="8"/>
      <c r="K21" s="8"/>
      <c r="L21" s="8"/>
    </row>
    <row r="22" spans="2:12" ht="31.5" customHeight="1" x14ac:dyDescent="0.2">
      <c r="B22" s="43" t="s">
        <v>81</v>
      </c>
      <c r="C22" s="43" t="s">
        <v>82</v>
      </c>
      <c r="D22" s="43" t="s">
        <v>83</v>
      </c>
      <c r="E22" s="43" t="s">
        <v>84</v>
      </c>
      <c r="F22" s="43" t="s">
        <v>85</v>
      </c>
      <c r="G22" s="43" t="s">
        <v>86</v>
      </c>
      <c r="L22" s="43" t="s">
        <v>68</v>
      </c>
    </row>
    <row r="23" spans="2:12" ht="27.75" customHeight="1" x14ac:dyDescent="0.2">
      <c r="B23" s="44" t="s">
        <v>87</v>
      </c>
      <c r="C23" s="45" t="s">
        <v>88</v>
      </c>
      <c r="D23" s="46">
        <v>1200</v>
      </c>
      <c r="E23" s="46">
        <f t="shared" ref="E23:E30" si="7">D23*$K$5/$K$4</f>
        <v>500</v>
      </c>
      <c r="F23" s="46">
        <v>465</v>
      </c>
      <c r="G23" s="7">
        <f t="shared" ref="G23:G30" si="8">IF(E23=0,"N/A",F23/E23)</f>
        <v>0.93</v>
      </c>
      <c r="H23" s="7"/>
      <c r="I23" s="7"/>
      <c r="J23" s="7"/>
      <c r="K23" s="7"/>
      <c r="L23" s="39" t="str">
        <f t="shared" ref="L23:L30" si="9">IF(G23="N/A","N/A",IF(G23&gt;=0.9,"On Track",IF(G23&gt;=0.75,"Watch","Off Track")))</f>
        <v>On Track</v>
      </c>
    </row>
    <row r="24" spans="2:12" ht="27.75" customHeight="1" x14ac:dyDescent="0.2">
      <c r="B24" s="44" t="s">
        <v>89</v>
      </c>
      <c r="C24" s="45" t="s">
        <v>88</v>
      </c>
      <c r="D24" s="46">
        <v>600</v>
      </c>
      <c r="E24" s="46">
        <f t="shared" si="7"/>
        <v>250</v>
      </c>
      <c r="F24" s="46">
        <v>232</v>
      </c>
      <c r="G24" s="7">
        <f t="shared" si="8"/>
        <v>0.92800000000000005</v>
      </c>
      <c r="H24" s="7"/>
      <c r="I24" s="7"/>
      <c r="J24" s="7"/>
      <c r="K24" s="7"/>
      <c r="L24" s="39" t="str">
        <f t="shared" si="9"/>
        <v>On Track</v>
      </c>
    </row>
    <row r="25" spans="2:12" ht="27.75" customHeight="1" x14ac:dyDescent="0.2">
      <c r="B25" s="44" t="s">
        <v>90</v>
      </c>
      <c r="C25" s="45" t="s">
        <v>88</v>
      </c>
      <c r="D25" s="46">
        <v>900</v>
      </c>
      <c r="E25" s="46">
        <f t="shared" si="7"/>
        <v>375</v>
      </c>
      <c r="F25" s="46">
        <v>349</v>
      </c>
      <c r="G25" s="7">
        <f t="shared" si="8"/>
        <v>0.93066666666666664</v>
      </c>
      <c r="H25" s="7"/>
      <c r="I25" s="7"/>
      <c r="J25" s="7"/>
      <c r="K25" s="7"/>
      <c r="L25" s="39" t="str">
        <f t="shared" si="9"/>
        <v>On Track</v>
      </c>
    </row>
    <row r="26" spans="2:12" ht="27.75" customHeight="1" x14ac:dyDescent="0.2">
      <c r="B26" s="44" t="s">
        <v>91</v>
      </c>
      <c r="C26" s="45" t="s">
        <v>88</v>
      </c>
      <c r="D26" s="46">
        <v>450</v>
      </c>
      <c r="E26" s="46">
        <f t="shared" si="7"/>
        <v>187.5</v>
      </c>
      <c r="F26" s="46">
        <v>174</v>
      </c>
      <c r="G26" s="7">
        <f t="shared" si="8"/>
        <v>0.92800000000000005</v>
      </c>
      <c r="H26" s="7"/>
      <c r="I26" s="7"/>
      <c r="J26" s="7"/>
      <c r="K26" s="7"/>
      <c r="L26" s="39" t="str">
        <f t="shared" si="9"/>
        <v>On Track</v>
      </c>
    </row>
    <row r="27" spans="2:12" ht="27.75" customHeight="1" x14ac:dyDescent="0.2">
      <c r="B27" s="44" t="s">
        <v>92</v>
      </c>
      <c r="C27" s="45" t="s">
        <v>88</v>
      </c>
      <c r="D27" s="46">
        <v>1500</v>
      </c>
      <c r="E27" s="46">
        <f t="shared" si="7"/>
        <v>625</v>
      </c>
      <c r="F27" s="46">
        <v>581</v>
      </c>
      <c r="G27" s="7">
        <f t="shared" si="8"/>
        <v>0.92959999999999998</v>
      </c>
      <c r="H27" s="7"/>
      <c r="I27" s="7"/>
      <c r="J27" s="7"/>
      <c r="K27" s="7"/>
      <c r="L27" s="39" t="str">
        <f t="shared" si="9"/>
        <v>On Track</v>
      </c>
    </row>
    <row r="28" spans="2:12" ht="27.75" customHeight="1" x14ac:dyDescent="0.2">
      <c r="B28" s="44" t="s">
        <v>93</v>
      </c>
      <c r="C28" s="45" t="s">
        <v>88</v>
      </c>
      <c r="D28" s="46">
        <v>300</v>
      </c>
      <c r="E28" s="46">
        <f t="shared" si="7"/>
        <v>125</v>
      </c>
      <c r="F28" s="46">
        <v>116</v>
      </c>
      <c r="G28" s="7">
        <f t="shared" si="8"/>
        <v>0.92800000000000005</v>
      </c>
      <c r="H28" s="7"/>
      <c r="I28" s="7"/>
      <c r="J28" s="7"/>
      <c r="K28" s="7"/>
      <c r="L28" s="39" t="str">
        <f t="shared" si="9"/>
        <v>On Track</v>
      </c>
    </row>
    <row r="29" spans="2:12" ht="27.75" customHeight="1" x14ac:dyDescent="0.2">
      <c r="B29" s="44" t="s">
        <v>94</v>
      </c>
      <c r="C29" s="45" t="s">
        <v>88</v>
      </c>
      <c r="D29" s="46">
        <v>750</v>
      </c>
      <c r="E29" s="46">
        <f t="shared" si="7"/>
        <v>312.5</v>
      </c>
      <c r="F29" s="46">
        <v>291</v>
      </c>
      <c r="G29" s="7">
        <f t="shared" si="8"/>
        <v>0.93120000000000003</v>
      </c>
      <c r="H29" s="7"/>
      <c r="I29" s="7"/>
      <c r="J29" s="7"/>
      <c r="K29" s="7"/>
      <c r="L29" s="39" t="str">
        <f t="shared" si="9"/>
        <v>On Track</v>
      </c>
    </row>
    <row r="30" spans="2:12" ht="27.75" customHeight="1" x14ac:dyDescent="0.2">
      <c r="B30" s="44" t="s">
        <v>95</v>
      </c>
      <c r="C30" s="45" t="s">
        <v>88</v>
      </c>
      <c r="D30" s="46">
        <v>200</v>
      </c>
      <c r="E30" s="46">
        <f t="shared" si="7"/>
        <v>83.333333333333329</v>
      </c>
      <c r="F30" s="46">
        <v>78</v>
      </c>
      <c r="G30" s="7">
        <f t="shared" si="8"/>
        <v>0.93600000000000005</v>
      </c>
      <c r="H30" s="7"/>
      <c r="I30" s="7"/>
      <c r="J30" s="7"/>
      <c r="K30" s="7"/>
      <c r="L30" s="39" t="str">
        <f t="shared" si="9"/>
        <v>On Track</v>
      </c>
    </row>
    <row r="31" spans="2:12" ht="21.75" customHeight="1" x14ac:dyDescent="0.2">
      <c r="B31" s="9" t="s">
        <v>96</v>
      </c>
      <c r="C31" s="9"/>
      <c r="D31" s="9"/>
      <c r="E31" s="9"/>
      <c r="F31" s="9"/>
      <c r="G31" s="9"/>
      <c r="H31" s="9"/>
      <c r="I31" s="9"/>
      <c r="J31" s="9"/>
      <c r="K31" s="9"/>
      <c r="L31" s="9"/>
    </row>
    <row r="33" spans="2:12" ht="15" customHeight="1" x14ac:dyDescent="0.2">
      <c r="B33" s="6" t="s">
        <v>97</v>
      </c>
      <c r="C33" s="6"/>
      <c r="D33" s="6"/>
      <c r="E33" s="6"/>
      <c r="F33" s="6"/>
      <c r="G33" s="6"/>
      <c r="H33" s="6"/>
      <c r="I33" s="6"/>
      <c r="J33" s="6"/>
      <c r="K33" s="6"/>
      <c r="L33" s="6"/>
    </row>
    <row r="34" spans="2:12" ht="15" customHeight="1" x14ac:dyDescent="0.2">
      <c r="B34" s="11" t="s">
        <v>98</v>
      </c>
      <c r="C34" s="11"/>
      <c r="D34" s="11"/>
      <c r="E34" s="47" t="str">
        <f>L18</f>
        <v>On Track</v>
      </c>
      <c r="F34" s="11" t="s">
        <v>99</v>
      </c>
      <c r="G34" s="11"/>
      <c r="H34" s="11"/>
      <c r="I34" s="11"/>
      <c r="J34" s="5" t="str">
        <f>COUNTIF(L9:L17,"Off Track")&amp;" of "&amp;COUNTA(L9:L17)</f>
        <v>0 of 9</v>
      </c>
      <c r="K34" s="5"/>
    </row>
    <row r="35" spans="2:12" ht="15" customHeight="1" x14ac:dyDescent="0.2">
      <c r="B35" s="11" t="s">
        <v>100</v>
      </c>
      <c r="C35" s="11"/>
      <c r="D35" s="11"/>
      <c r="E35" s="47" t="str">
        <f>IF(COUNTIF(L23:L30,"Off Track")&gt;0,"Off Track",IF(COUNTIF(L23:L30,"Watch")&gt;0,"Watch","On Track"))</f>
        <v>On Track</v>
      </c>
      <c r="F35" s="11" t="s">
        <v>101</v>
      </c>
      <c r="G35" s="11"/>
      <c r="H35" s="11"/>
      <c r="I35" s="11"/>
      <c r="J35" s="5" t="str">
        <f>COUNTIF(L23:L30,"Off Track")&amp;" of "&amp;COUNTA(L23:L30)</f>
        <v>0 of 8</v>
      </c>
      <c r="K35" s="5"/>
    </row>
    <row r="36" spans="2:12" ht="21.75" customHeight="1" x14ac:dyDescent="0.2">
      <c r="B36" s="4" t="s">
        <v>102</v>
      </c>
      <c r="C36" s="4"/>
      <c r="D36" s="4"/>
      <c r="E36" s="48" t="str">
        <f>IF(OR(E34="Off Track",E35="Off Track"),"Off Track",IF(OR(E34="Watch",E35="Watch"),"Watch","On Track"))</f>
        <v>On Track</v>
      </c>
    </row>
    <row r="38" spans="2:12" ht="15" customHeight="1" x14ac:dyDescent="0.2">
      <c r="B38" s="15" t="s">
        <v>103</v>
      </c>
    </row>
    <row r="39" spans="2:12" ht="15" customHeight="1" x14ac:dyDescent="0.2">
      <c r="B39" s="3" t="s">
        <v>104</v>
      </c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2:12" ht="15" customHeight="1" x14ac:dyDescent="0.2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2:12" ht="15" customHeight="1" x14ac:dyDescent="0.2"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2:12" ht="15" customHeight="1" x14ac:dyDescent="0.2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</sheetData>
  <mergeCells count="24">
    <mergeCell ref="B36:D36"/>
    <mergeCell ref="B39:L42"/>
    <mergeCell ref="B33:L33"/>
    <mergeCell ref="B34:D34"/>
    <mergeCell ref="F34:I34"/>
    <mergeCell ref="J34:K34"/>
    <mergeCell ref="B35:D35"/>
    <mergeCell ref="F35:I35"/>
    <mergeCell ref="J35:K35"/>
    <mergeCell ref="G27:K27"/>
    <mergeCell ref="G28:K28"/>
    <mergeCell ref="G29:K29"/>
    <mergeCell ref="G30:K30"/>
    <mergeCell ref="B31:L31"/>
    <mergeCell ref="B21:L21"/>
    <mergeCell ref="G23:K23"/>
    <mergeCell ref="G24:K24"/>
    <mergeCell ref="G25:K25"/>
    <mergeCell ref="G26:K26"/>
    <mergeCell ref="B2:L2"/>
    <mergeCell ref="I4:J4"/>
    <mergeCell ref="I5:J5"/>
    <mergeCell ref="B7:K7"/>
    <mergeCell ref="B19:L19"/>
  </mergeCells>
  <conditionalFormatting sqref="E34:E36">
    <cfRule type="cellIs" dxfId="59" priority="10" operator="equal">
      <formula>"On Track"</formula>
    </cfRule>
    <cfRule type="cellIs" dxfId="58" priority="11" operator="equal">
      <formula>"Watch"</formula>
    </cfRule>
    <cfRule type="cellIs" dxfId="57" priority="12" operator="equal">
      <formula>"Off Track"</formula>
    </cfRule>
    <cfRule type="cellIs" dxfId="56" priority="13" operator="equal">
      <formula>"N/A"</formula>
    </cfRule>
  </conditionalFormatting>
  <conditionalFormatting sqref="L9:L18">
    <cfRule type="cellIs" dxfId="55" priority="2" operator="equal">
      <formula>"On Track"</formula>
    </cfRule>
    <cfRule type="cellIs" dxfId="54" priority="3" operator="equal">
      <formula>"Watch"</formula>
    </cfRule>
    <cfRule type="cellIs" dxfId="53" priority="4" operator="equal">
      <formula>"Off Track"</formula>
    </cfRule>
    <cfRule type="cellIs" dxfId="52" priority="5" operator="equal">
      <formula>"N/A"</formula>
    </cfRule>
  </conditionalFormatting>
  <conditionalFormatting sqref="L23:L30">
    <cfRule type="cellIs" dxfId="51" priority="6" operator="equal">
      <formula>"On Track"</formula>
    </cfRule>
    <cfRule type="cellIs" dxfId="50" priority="7" operator="equal">
      <formula>"Watch"</formula>
    </cfRule>
    <cfRule type="cellIs" dxfId="49" priority="8" operator="equal">
      <formula>"Off Track"</formula>
    </cfRule>
    <cfRule type="cellIs" dxfId="48" priority="9" operator="equal">
      <formula>"N/A"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L42"/>
  <sheetViews>
    <sheetView showGridLines="0" zoomScaleNormal="100" workbookViewId="0"/>
  </sheetViews>
  <sheetFormatPr baseColWidth="10" defaultColWidth="8.6640625" defaultRowHeight="15" x14ac:dyDescent="0.2"/>
  <cols>
    <col min="2" max="2" width="84.33203125" customWidth="1"/>
    <col min="3" max="3" width="19.1640625" customWidth="1"/>
    <col min="4" max="4" width="17.6640625" customWidth="1"/>
    <col min="5" max="5" width="13" customWidth="1"/>
    <col min="6" max="6" width="16" customWidth="1"/>
    <col min="7" max="7" width="13.5" customWidth="1"/>
    <col min="8" max="8" width="12.5" customWidth="1"/>
    <col min="9" max="9" width="11.6640625" customWidth="1"/>
    <col min="10" max="10" width="15.1640625" customWidth="1"/>
    <col min="11" max="11" width="9.83203125" customWidth="1"/>
    <col min="12" max="12" width="13" customWidth="1"/>
    <col min="13" max="13" width="4.83203125" customWidth="1"/>
  </cols>
  <sheetData>
    <row r="2" spans="2:12" ht="25.5" customHeight="1" x14ac:dyDescent="0.2">
      <c r="B2" s="12" t="s">
        <v>118</v>
      </c>
      <c r="C2" s="12"/>
      <c r="D2" s="12"/>
      <c r="E2" s="12"/>
      <c r="F2" s="12"/>
      <c r="G2" s="12"/>
      <c r="H2" s="12"/>
      <c r="I2" s="12"/>
      <c r="J2" s="12"/>
      <c r="K2" s="12"/>
      <c r="L2" s="12"/>
    </row>
    <row r="4" spans="2:12" ht="15" customHeight="1" x14ac:dyDescent="0.2">
      <c r="B4" s="15" t="s">
        <v>49</v>
      </c>
      <c r="C4" s="32" t="s">
        <v>119</v>
      </c>
      <c r="E4" s="15" t="s">
        <v>50</v>
      </c>
      <c r="G4" s="33">
        <f ca="1">TODAY()</f>
        <v>46202</v>
      </c>
      <c r="I4" s="11" t="s">
        <v>51</v>
      </c>
      <c r="J4" s="11"/>
      <c r="K4" s="32">
        <v>18</v>
      </c>
    </row>
    <row r="5" spans="2:12" ht="15" customHeight="1" x14ac:dyDescent="0.2">
      <c r="B5" s="15" t="s">
        <v>52</v>
      </c>
      <c r="C5" s="32" t="s">
        <v>120</v>
      </c>
      <c r="E5" s="15" t="s">
        <v>54</v>
      </c>
      <c r="G5" s="32" t="s">
        <v>55</v>
      </c>
      <c r="I5" s="11" t="s">
        <v>56</v>
      </c>
      <c r="J5" s="11"/>
      <c r="K5" s="32">
        <v>4</v>
      </c>
    </row>
    <row r="7" spans="2:12" ht="15.75" customHeight="1" x14ac:dyDescent="0.2">
      <c r="B7" s="10" t="s">
        <v>57</v>
      </c>
      <c r="C7" s="10"/>
      <c r="D7" s="10"/>
      <c r="E7" s="10"/>
      <c r="F7" s="10"/>
      <c r="G7" s="10"/>
      <c r="H7" s="10"/>
      <c r="I7" s="10"/>
      <c r="J7" s="10"/>
      <c r="K7" s="10"/>
    </row>
    <row r="8" spans="2:12" ht="31.5" customHeight="1" x14ac:dyDescent="0.2">
      <c r="B8" s="20" t="s">
        <v>58</v>
      </c>
      <c r="C8" s="20" t="s">
        <v>59</v>
      </c>
      <c r="D8" s="20" t="s">
        <v>60</v>
      </c>
      <c r="E8" s="20" t="s">
        <v>61</v>
      </c>
      <c r="F8" s="20" t="s">
        <v>62</v>
      </c>
      <c r="G8" s="20" t="s">
        <v>63</v>
      </c>
      <c r="H8" s="20" t="s">
        <v>64</v>
      </c>
      <c r="I8" s="20" t="s">
        <v>65</v>
      </c>
      <c r="J8" s="20" t="s">
        <v>66</v>
      </c>
      <c r="K8" s="20" t="s">
        <v>67</v>
      </c>
      <c r="L8" s="20" t="s">
        <v>68</v>
      </c>
    </row>
    <row r="9" spans="2:12" ht="15" customHeight="1" x14ac:dyDescent="0.2">
      <c r="B9" s="34" t="s">
        <v>69</v>
      </c>
      <c r="C9" s="35">
        <v>18000000</v>
      </c>
      <c r="D9" s="36">
        <f t="shared" ref="D9:D17" si="0">C9*$K$5/$K$4</f>
        <v>4000000</v>
      </c>
      <c r="E9" s="35">
        <v>3120000</v>
      </c>
      <c r="F9" s="36">
        <f t="shared" ref="F9:F18" si="1">E9-D9</f>
        <v>-880000</v>
      </c>
      <c r="G9" s="37">
        <f t="shared" ref="G9:G18" si="2">IF(D9=0,"N/A",F9/D9)</f>
        <v>-0.22</v>
      </c>
      <c r="H9" s="35">
        <v>780000</v>
      </c>
      <c r="I9" s="36">
        <f t="shared" ref="I9:I18" si="3">IF($K$5=0,"N/A",E9/$K$5)</f>
        <v>780000</v>
      </c>
      <c r="J9" s="36">
        <f t="shared" ref="J9:J18" si="4">IF(C9=0,"N/A",I9*$K$4)</f>
        <v>14040000</v>
      </c>
      <c r="K9" s="38">
        <f t="shared" ref="K9:K18" si="5">IF($K$4-$K$5&lt;0,0,$K$4-$K$5)</f>
        <v>14</v>
      </c>
      <c r="L9" s="39" t="str">
        <f t="shared" ref="L9:L18" si="6">IF(G9="N/A","N/A",IF(ABS(G9)&lt;=0.1,"On Track",IF(ABS(G9)&lt;=0.2,"Watch","Off Track")))</f>
        <v>Off Track</v>
      </c>
    </row>
    <row r="10" spans="2:12" ht="15" customHeight="1" x14ac:dyDescent="0.2">
      <c r="B10" s="34" t="s">
        <v>70</v>
      </c>
      <c r="C10" s="35">
        <v>9000000</v>
      </c>
      <c r="D10" s="36">
        <f t="shared" si="0"/>
        <v>2000000</v>
      </c>
      <c r="E10" s="35">
        <v>1560000</v>
      </c>
      <c r="F10" s="36">
        <f t="shared" si="1"/>
        <v>-440000</v>
      </c>
      <c r="G10" s="37">
        <f t="shared" si="2"/>
        <v>-0.22</v>
      </c>
      <c r="H10" s="35">
        <v>390000</v>
      </c>
      <c r="I10" s="36">
        <f t="shared" si="3"/>
        <v>390000</v>
      </c>
      <c r="J10" s="36">
        <f t="shared" si="4"/>
        <v>7020000</v>
      </c>
      <c r="K10" s="38">
        <f t="shared" si="5"/>
        <v>14</v>
      </c>
      <c r="L10" s="39" t="str">
        <f t="shared" si="6"/>
        <v>Off Track</v>
      </c>
    </row>
    <row r="11" spans="2:12" ht="15" customHeight="1" x14ac:dyDescent="0.2">
      <c r="B11" s="34" t="s">
        <v>71</v>
      </c>
      <c r="C11" s="35">
        <v>7500000</v>
      </c>
      <c r="D11" s="36">
        <f t="shared" si="0"/>
        <v>1666666.6666666667</v>
      </c>
      <c r="E11" s="35">
        <v>1300000</v>
      </c>
      <c r="F11" s="36">
        <f t="shared" si="1"/>
        <v>-366666.66666666674</v>
      </c>
      <c r="G11" s="37">
        <f t="shared" si="2"/>
        <v>-0.22000000000000003</v>
      </c>
      <c r="H11" s="35">
        <v>325000</v>
      </c>
      <c r="I11" s="36">
        <f t="shared" si="3"/>
        <v>325000</v>
      </c>
      <c r="J11" s="36">
        <f t="shared" si="4"/>
        <v>5850000</v>
      </c>
      <c r="K11" s="38">
        <f t="shared" si="5"/>
        <v>14</v>
      </c>
      <c r="L11" s="39" t="str">
        <f t="shared" si="6"/>
        <v>Off Track</v>
      </c>
    </row>
    <row r="12" spans="2:12" ht="15" customHeight="1" x14ac:dyDescent="0.2">
      <c r="B12" s="34" t="s">
        <v>72</v>
      </c>
      <c r="C12" s="35">
        <v>6000000</v>
      </c>
      <c r="D12" s="36">
        <f t="shared" si="0"/>
        <v>1333333.3333333333</v>
      </c>
      <c r="E12" s="35">
        <v>1040000</v>
      </c>
      <c r="F12" s="36">
        <f t="shared" si="1"/>
        <v>-293333.33333333326</v>
      </c>
      <c r="G12" s="37">
        <f t="shared" si="2"/>
        <v>-0.21999999999999995</v>
      </c>
      <c r="H12" s="35">
        <v>260000</v>
      </c>
      <c r="I12" s="36">
        <f t="shared" si="3"/>
        <v>260000</v>
      </c>
      <c r="J12" s="36">
        <f t="shared" si="4"/>
        <v>4680000</v>
      </c>
      <c r="K12" s="38">
        <f t="shared" si="5"/>
        <v>14</v>
      </c>
      <c r="L12" s="39" t="str">
        <f t="shared" si="6"/>
        <v>Off Track</v>
      </c>
    </row>
    <row r="13" spans="2:12" ht="15" customHeight="1" x14ac:dyDescent="0.2">
      <c r="B13" s="34" t="s">
        <v>73</v>
      </c>
      <c r="C13" s="35">
        <v>9500000</v>
      </c>
      <c r="D13" s="36">
        <f t="shared" si="0"/>
        <v>2111111.111111111</v>
      </c>
      <c r="E13" s="35">
        <v>1646667</v>
      </c>
      <c r="F13" s="36">
        <f t="shared" si="1"/>
        <v>-464444.11111111101</v>
      </c>
      <c r="G13" s="37">
        <f t="shared" si="2"/>
        <v>-0.21999984210526313</v>
      </c>
      <c r="H13" s="35">
        <v>411667</v>
      </c>
      <c r="I13" s="36">
        <f t="shared" si="3"/>
        <v>411666.75</v>
      </c>
      <c r="J13" s="36">
        <f t="shared" si="4"/>
        <v>7410001.5</v>
      </c>
      <c r="K13" s="38">
        <f t="shared" si="5"/>
        <v>14</v>
      </c>
      <c r="L13" s="39" t="str">
        <f t="shared" si="6"/>
        <v>Off Track</v>
      </c>
    </row>
    <row r="14" spans="2:12" ht="15" customHeight="1" x14ac:dyDescent="0.2">
      <c r="B14" s="34" t="s">
        <v>74</v>
      </c>
      <c r="C14" s="35">
        <v>4000000</v>
      </c>
      <c r="D14" s="36">
        <f t="shared" si="0"/>
        <v>888888.88888888888</v>
      </c>
      <c r="E14" s="35">
        <v>693333</v>
      </c>
      <c r="F14" s="36">
        <f t="shared" si="1"/>
        <v>-195555.88888888888</v>
      </c>
      <c r="G14" s="37">
        <f t="shared" si="2"/>
        <v>-0.220000375</v>
      </c>
      <c r="H14" s="35">
        <v>173333</v>
      </c>
      <c r="I14" s="36">
        <f t="shared" si="3"/>
        <v>173333.25</v>
      </c>
      <c r="J14" s="36">
        <f t="shared" si="4"/>
        <v>3119998.5</v>
      </c>
      <c r="K14" s="38">
        <f t="shared" si="5"/>
        <v>14</v>
      </c>
      <c r="L14" s="39" t="str">
        <f t="shared" si="6"/>
        <v>Off Track</v>
      </c>
    </row>
    <row r="15" spans="2:12" ht="15" customHeight="1" x14ac:dyDescent="0.2">
      <c r="B15" s="34" t="s">
        <v>75</v>
      </c>
      <c r="C15" s="35">
        <v>6500000</v>
      </c>
      <c r="D15" s="36">
        <f t="shared" si="0"/>
        <v>1444444.4444444445</v>
      </c>
      <c r="E15" s="35">
        <v>1126667</v>
      </c>
      <c r="F15" s="36">
        <f t="shared" si="1"/>
        <v>-317777.4444444445</v>
      </c>
      <c r="G15" s="37">
        <f t="shared" si="2"/>
        <v>-0.21999976923076925</v>
      </c>
      <c r="H15" s="35">
        <v>281667</v>
      </c>
      <c r="I15" s="36">
        <f t="shared" si="3"/>
        <v>281666.75</v>
      </c>
      <c r="J15" s="36">
        <f t="shared" si="4"/>
        <v>5070001.5</v>
      </c>
      <c r="K15" s="38">
        <f t="shared" si="5"/>
        <v>14</v>
      </c>
      <c r="L15" s="39" t="str">
        <f t="shared" si="6"/>
        <v>Off Track</v>
      </c>
    </row>
    <row r="16" spans="2:12" ht="15" customHeight="1" x14ac:dyDescent="0.2">
      <c r="B16" s="34" t="s">
        <v>76</v>
      </c>
      <c r="C16" s="35">
        <v>3000000</v>
      </c>
      <c r="D16" s="36">
        <f t="shared" si="0"/>
        <v>666666.66666666663</v>
      </c>
      <c r="E16" s="35">
        <v>520000</v>
      </c>
      <c r="F16" s="36">
        <f t="shared" si="1"/>
        <v>-146666.66666666663</v>
      </c>
      <c r="G16" s="37">
        <f t="shared" si="2"/>
        <v>-0.21999999999999995</v>
      </c>
      <c r="H16" s="35">
        <v>130000</v>
      </c>
      <c r="I16" s="36">
        <f t="shared" si="3"/>
        <v>130000</v>
      </c>
      <c r="J16" s="36">
        <f t="shared" si="4"/>
        <v>2340000</v>
      </c>
      <c r="K16" s="38">
        <f t="shared" si="5"/>
        <v>14</v>
      </c>
      <c r="L16" s="39" t="str">
        <f t="shared" si="6"/>
        <v>Off Track</v>
      </c>
    </row>
    <row r="17" spans="2:12" ht="15" customHeight="1" x14ac:dyDescent="0.2">
      <c r="B17" s="34" t="s">
        <v>77</v>
      </c>
      <c r="C17" s="35">
        <v>5000000</v>
      </c>
      <c r="D17" s="36">
        <f t="shared" si="0"/>
        <v>1111111.111111111</v>
      </c>
      <c r="E17" s="35">
        <v>866667</v>
      </c>
      <c r="F17" s="36">
        <f t="shared" si="1"/>
        <v>-244444.11111111101</v>
      </c>
      <c r="G17" s="37">
        <f t="shared" si="2"/>
        <v>-0.21999969999999994</v>
      </c>
      <c r="H17" s="35">
        <v>216667</v>
      </c>
      <c r="I17" s="36">
        <f t="shared" si="3"/>
        <v>216666.75</v>
      </c>
      <c r="J17" s="36">
        <f t="shared" si="4"/>
        <v>3900001.5</v>
      </c>
      <c r="K17" s="38">
        <f t="shared" si="5"/>
        <v>14</v>
      </c>
      <c r="L17" s="39" t="str">
        <f t="shared" si="6"/>
        <v>Off Track</v>
      </c>
    </row>
    <row r="18" spans="2:12" ht="15" customHeight="1" x14ac:dyDescent="0.2">
      <c r="B18" s="27" t="s">
        <v>78</v>
      </c>
      <c r="C18" s="28">
        <f>SUM(C9:C17)</f>
        <v>68500000</v>
      </c>
      <c r="D18" s="28">
        <f>SUM(D9:D17)</f>
        <v>15222222.22222222</v>
      </c>
      <c r="E18" s="28">
        <f>SUM(E9:E17)</f>
        <v>11873334</v>
      </c>
      <c r="F18" s="40">
        <f t="shared" si="1"/>
        <v>-3348888.2222222202</v>
      </c>
      <c r="G18" s="41">
        <f t="shared" si="2"/>
        <v>-0.21999995620437945</v>
      </c>
      <c r="H18" s="28">
        <f>SUM(H9:H17)</f>
        <v>2968334</v>
      </c>
      <c r="I18" s="28">
        <f t="shared" si="3"/>
        <v>2968333.5</v>
      </c>
      <c r="J18" s="28">
        <f t="shared" si="4"/>
        <v>53430003</v>
      </c>
      <c r="K18" s="40">
        <f t="shared" si="5"/>
        <v>14</v>
      </c>
      <c r="L18" s="42" t="str">
        <f t="shared" si="6"/>
        <v>Off Track</v>
      </c>
    </row>
    <row r="19" spans="2:12" ht="15.75" customHeight="1" x14ac:dyDescent="0.2">
      <c r="B19" s="9" t="s">
        <v>79</v>
      </c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2:12" ht="31.5" customHeight="1" x14ac:dyDescent="0.2"/>
    <row r="21" spans="2:12" ht="27.75" customHeight="1" x14ac:dyDescent="0.2">
      <c r="B21" s="8" t="s">
        <v>80</v>
      </c>
      <c r="C21" s="8"/>
      <c r="D21" s="8"/>
      <c r="E21" s="8"/>
      <c r="F21" s="8"/>
      <c r="G21" s="8"/>
      <c r="H21" s="8"/>
      <c r="I21" s="8"/>
      <c r="J21" s="8"/>
      <c r="K21" s="8"/>
      <c r="L21" s="8"/>
    </row>
    <row r="22" spans="2:12" ht="31.5" customHeight="1" x14ac:dyDescent="0.2">
      <c r="B22" s="43" t="s">
        <v>81</v>
      </c>
      <c r="C22" s="43" t="s">
        <v>82</v>
      </c>
      <c r="D22" s="43" t="s">
        <v>83</v>
      </c>
      <c r="E22" s="43" t="s">
        <v>84</v>
      </c>
      <c r="F22" s="43" t="s">
        <v>85</v>
      </c>
      <c r="G22" s="43" t="s">
        <v>86</v>
      </c>
      <c r="L22" s="43" t="s">
        <v>68</v>
      </c>
    </row>
    <row r="23" spans="2:12" ht="27.75" customHeight="1" x14ac:dyDescent="0.2">
      <c r="B23" s="44" t="s">
        <v>87</v>
      </c>
      <c r="C23" s="45" t="s">
        <v>88</v>
      </c>
      <c r="D23" s="46">
        <v>1200</v>
      </c>
      <c r="E23" s="46">
        <f t="shared" ref="E23:E30" si="7">D23*$K$5/$K$4</f>
        <v>266.66666666666669</v>
      </c>
      <c r="F23" s="46">
        <v>259</v>
      </c>
      <c r="G23" s="7">
        <f t="shared" ref="G23:G30" si="8">IF(E23=0,"N/A",F23/E23)</f>
        <v>0.97124999999999995</v>
      </c>
      <c r="H23" s="7"/>
      <c r="I23" s="7"/>
      <c r="J23" s="7"/>
      <c r="K23" s="7"/>
      <c r="L23" s="39" t="str">
        <f t="shared" ref="L23:L30" si="9">IF(G23="N/A","N/A",IF(G23&gt;=0.9,"On Track",IF(G23&gt;=0.75,"Watch","Off Track")))</f>
        <v>On Track</v>
      </c>
    </row>
    <row r="24" spans="2:12" ht="27.75" customHeight="1" x14ac:dyDescent="0.2">
      <c r="B24" s="44" t="s">
        <v>89</v>
      </c>
      <c r="C24" s="45" t="s">
        <v>88</v>
      </c>
      <c r="D24" s="46">
        <v>600</v>
      </c>
      <c r="E24" s="46">
        <f t="shared" si="7"/>
        <v>133.33333333333334</v>
      </c>
      <c r="F24" s="46">
        <v>129</v>
      </c>
      <c r="G24" s="7">
        <f t="shared" si="8"/>
        <v>0.96749999999999992</v>
      </c>
      <c r="H24" s="7"/>
      <c r="I24" s="7"/>
      <c r="J24" s="7"/>
      <c r="K24" s="7"/>
      <c r="L24" s="39" t="str">
        <f t="shared" si="9"/>
        <v>On Track</v>
      </c>
    </row>
    <row r="25" spans="2:12" ht="27.75" customHeight="1" x14ac:dyDescent="0.2">
      <c r="B25" s="44" t="s">
        <v>90</v>
      </c>
      <c r="C25" s="45" t="s">
        <v>88</v>
      </c>
      <c r="D25" s="46">
        <v>900</v>
      </c>
      <c r="E25" s="46">
        <f t="shared" si="7"/>
        <v>200</v>
      </c>
      <c r="F25" s="46">
        <v>194</v>
      </c>
      <c r="G25" s="7">
        <f t="shared" si="8"/>
        <v>0.97</v>
      </c>
      <c r="H25" s="7"/>
      <c r="I25" s="7"/>
      <c r="J25" s="7"/>
      <c r="K25" s="7"/>
      <c r="L25" s="39" t="str">
        <f t="shared" si="9"/>
        <v>On Track</v>
      </c>
    </row>
    <row r="26" spans="2:12" ht="27.75" customHeight="1" x14ac:dyDescent="0.2">
      <c r="B26" s="44" t="s">
        <v>91</v>
      </c>
      <c r="C26" s="45" t="s">
        <v>88</v>
      </c>
      <c r="D26" s="46">
        <v>450</v>
      </c>
      <c r="E26" s="46">
        <f t="shared" si="7"/>
        <v>100</v>
      </c>
      <c r="F26" s="46">
        <v>97</v>
      </c>
      <c r="G26" s="7">
        <f t="shared" si="8"/>
        <v>0.97</v>
      </c>
      <c r="H26" s="7"/>
      <c r="I26" s="7"/>
      <c r="J26" s="7"/>
      <c r="K26" s="7"/>
      <c r="L26" s="39" t="str">
        <f t="shared" si="9"/>
        <v>On Track</v>
      </c>
    </row>
    <row r="27" spans="2:12" ht="27.75" customHeight="1" x14ac:dyDescent="0.2">
      <c r="B27" s="44" t="s">
        <v>92</v>
      </c>
      <c r="C27" s="45" t="s">
        <v>88</v>
      </c>
      <c r="D27" s="46">
        <v>1500</v>
      </c>
      <c r="E27" s="46">
        <f t="shared" si="7"/>
        <v>333.33333333333331</v>
      </c>
      <c r="F27" s="46">
        <v>323</v>
      </c>
      <c r="G27" s="7">
        <f t="shared" si="8"/>
        <v>0.96900000000000008</v>
      </c>
      <c r="H27" s="7"/>
      <c r="I27" s="7"/>
      <c r="J27" s="7"/>
      <c r="K27" s="7"/>
      <c r="L27" s="39" t="str">
        <f t="shared" si="9"/>
        <v>On Track</v>
      </c>
    </row>
    <row r="28" spans="2:12" ht="27.75" customHeight="1" x14ac:dyDescent="0.2">
      <c r="B28" s="44" t="s">
        <v>93</v>
      </c>
      <c r="C28" s="45" t="s">
        <v>88</v>
      </c>
      <c r="D28" s="46">
        <v>300</v>
      </c>
      <c r="E28" s="46">
        <f t="shared" si="7"/>
        <v>66.666666666666671</v>
      </c>
      <c r="F28" s="46">
        <v>65</v>
      </c>
      <c r="G28" s="7">
        <f t="shared" si="8"/>
        <v>0.97499999999999998</v>
      </c>
      <c r="H28" s="7"/>
      <c r="I28" s="7"/>
      <c r="J28" s="7"/>
      <c r="K28" s="7"/>
      <c r="L28" s="39" t="str">
        <f t="shared" si="9"/>
        <v>On Track</v>
      </c>
    </row>
    <row r="29" spans="2:12" ht="27.75" customHeight="1" x14ac:dyDescent="0.2">
      <c r="B29" s="44" t="s">
        <v>94</v>
      </c>
      <c r="C29" s="45" t="s">
        <v>88</v>
      </c>
      <c r="D29" s="46">
        <v>750</v>
      </c>
      <c r="E29" s="46">
        <f t="shared" si="7"/>
        <v>166.66666666666666</v>
      </c>
      <c r="F29" s="46">
        <v>162</v>
      </c>
      <c r="G29" s="7">
        <f t="shared" si="8"/>
        <v>0.97200000000000009</v>
      </c>
      <c r="H29" s="7"/>
      <c r="I29" s="7"/>
      <c r="J29" s="7"/>
      <c r="K29" s="7"/>
      <c r="L29" s="39" t="str">
        <f t="shared" si="9"/>
        <v>On Track</v>
      </c>
    </row>
    <row r="30" spans="2:12" ht="27.75" customHeight="1" x14ac:dyDescent="0.2">
      <c r="B30" s="44" t="s">
        <v>95</v>
      </c>
      <c r="C30" s="45" t="s">
        <v>88</v>
      </c>
      <c r="D30" s="46">
        <v>200</v>
      </c>
      <c r="E30" s="46">
        <f t="shared" si="7"/>
        <v>44.444444444444443</v>
      </c>
      <c r="F30" s="46">
        <v>43</v>
      </c>
      <c r="G30" s="7">
        <f t="shared" si="8"/>
        <v>0.96750000000000003</v>
      </c>
      <c r="H30" s="7"/>
      <c r="I30" s="7"/>
      <c r="J30" s="7"/>
      <c r="K30" s="7"/>
      <c r="L30" s="39" t="str">
        <f t="shared" si="9"/>
        <v>On Track</v>
      </c>
    </row>
    <row r="31" spans="2:12" ht="21.75" customHeight="1" x14ac:dyDescent="0.2">
      <c r="B31" s="9" t="s">
        <v>96</v>
      </c>
      <c r="C31" s="9"/>
      <c r="D31" s="9"/>
      <c r="E31" s="9"/>
      <c r="F31" s="9"/>
      <c r="G31" s="9"/>
      <c r="H31" s="9"/>
      <c r="I31" s="9"/>
      <c r="J31" s="9"/>
      <c r="K31" s="9"/>
      <c r="L31" s="9"/>
    </row>
    <row r="33" spans="2:12" ht="15" customHeight="1" x14ac:dyDescent="0.2">
      <c r="B33" s="6" t="s">
        <v>97</v>
      </c>
      <c r="C33" s="6"/>
      <c r="D33" s="6"/>
      <c r="E33" s="6"/>
      <c r="F33" s="6"/>
      <c r="G33" s="6"/>
      <c r="H33" s="6"/>
      <c r="I33" s="6"/>
      <c r="J33" s="6"/>
      <c r="K33" s="6"/>
      <c r="L33" s="6"/>
    </row>
    <row r="34" spans="2:12" ht="15" customHeight="1" x14ac:dyDescent="0.2">
      <c r="B34" s="11" t="s">
        <v>98</v>
      </c>
      <c r="C34" s="11"/>
      <c r="D34" s="11"/>
      <c r="E34" s="47" t="str">
        <f>L18</f>
        <v>Off Track</v>
      </c>
      <c r="F34" s="11" t="s">
        <v>99</v>
      </c>
      <c r="G34" s="11"/>
      <c r="H34" s="11"/>
      <c r="I34" s="11"/>
      <c r="J34" s="5" t="str">
        <f>COUNTIF(L9:L17,"Off Track")&amp;" of "&amp;COUNTA(L9:L17)</f>
        <v>9 of 9</v>
      </c>
      <c r="K34" s="5"/>
    </row>
    <row r="35" spans="2:12" ht="15" customHeight="1" x14ac:dyDescent="0.2">
      <c r="B35" s="11" t="s">
        <v>100</v>
      </c>
      <c r="C35" s="11"/>
      <c r="D35" s="11"/>
      <c r="E35" s="47" t="str">
        <f>IF(COUNTIF(L23:L30,"Off Track")&gt;0,"Off Track",IF(COUNTIF(L23:L30,"Watch")&gt;0,"Watch","On Track"))</f>
        <v>On Track</v>
      </c>
      <c r="F35" s="11" t="s">
        <v>101</v>
      </c>
      <c r="G35" s="11"/>
      <c r="H35" s="11"/>
      <c r="I35" s="11"/>
      <c r="J35" s="5" t="str">
        <f>COUNTIF(L23:L30,"Off Track")&amp;" of "&amp;COUNTA(L23:L30)</f>
        <v>0 of 8</v>
      </c>
      <c r="K35" s="5"/>
    </row>
    <row r="36" spans="2:12" ht="21.75" customHeight="1" x14ac:dyDescent="0.2">
      <c r="B36" s="4" t="s">
        <v>102</v>
      </c>
      <c r="C36" s="4"/>
      <c r="D36" s="4"/>
      <c r="E36" s="48" t="str">
        <f>IF(OR(E34="Off Track",E35="Off Track"),"Off Track",IF(OR(E34="Watch",E35="Watch"),"Watch","On Track"))</f>
        <v>Off Track</v>
      </c>
    </row>
    <row r="38" spans="2:12" ht="15" customHeight="1" x14ac:dyDescent="0.2">
      <c r="B38" s="15" t="s">
        <v>103</v>
      </c>
    </row>
    <row r="39" spans="2:12" ht="15" customHeight="1" x14ac:dyDescent="0.2">
      <c r="B39" s="3" t="s">
        <v>104</v>
      </c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2:12" ht="15" customHeight="1" x14ac:dyDescent="0.2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2:12" ht="15" customHeight="1" x14ac:dyDescent="0.2"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2:12" ht="15" customHeight="1" x14ac:dyDescent="0.2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</sheetData>
  <mergeCells count="24">
    <mergeCell ref="B36:D36"/>
    <mergeCell ref="B39:L42"/>
    <mergeCell ref="B33:L33"/>
    <mergeCell ref="B34:D34"/>
    <mergeCell ref="F34:I34"/>
    <mergeCell ref="J34:K34"/>
    <mergeCell ref="B35:D35"/>
    <mergeCell ref="F35:I35"/>
    <mergeCell ref="J35:K35"/>
    <mergeCell ref="G27:K27"/>
    <mergeCell ref="G28:K28"/>
    <mergeCell ref="G29:K29"/>
    <mergeCell ref="G30:K30"/>
    <mergeCell ref="B31:L31"/>
    <mergeCell ref="B21:L21"/>
    <mergeCell ref="G23:K23"/>
    <mergeCell ref="G24:K24"/>
    <mergeCell ref="G25:K25"/>
    <mergeCell ref="G26:K26"/>
    <mergeCell ref="B2:L2"/>
    <mergeCell ref="I4:J4"/>
    <mergeCell ref="I5:J5"/>
    <mergeCell ref="B7:K7"/>
    <mergeCell ref="B19:L19"/>
  </mergeCells>
  <conditionalFormatting sqref="E34:E36">
    <cfRule type="cellIs" dxfId="47" priority="10" operator="equal">
      <formula>"On Track"</formula>
    </cfRule>
    <cfRule type="cellIs" dxfId="46" priority="11" operator="equal">
      <formula>"Watch"</formula>
    </cfRule>
    <cfRule type="cellIs" dxfId="45" priority="12" operator="equal">
      <formula>"Off Track"</formula>
    </cfRule>
    <cfRule type="cellIs" dxfId="44" priority="13" operator="equal">
      <formula>"N/A"</formula>
    </cfRule>
  </conditionalFormatting>
  <conditionalFormatting sqref="L9:L18">
    <cfRule type="cellIs" dxfId="43" priority="2" operator="equal">
      <formula>"On Track"</formula>
    </cfRule>
    <cfRule type="cellIs" dxfId="42" priority="3" operator="equal">
      <formula>"Watch"</formula>
    </cfRule>
    <cfRule type="cellIs" dxfId="41" priority="4" operator="equal">
      <formula>"Off Track"</formula>
    </cfRule>
    <cfRule type="cellIs" dxfId="40" priority="5" operator="equal">
      <formula>"N/A"</formula>
    </cfRule>
  </conditionalFormatting>
  <conditionalFormatting sqref="L23:L30">
    <cfRule type="cellIs" dxfId="39" priority="6" operator="equal">
      <formula>"On Track"</formula>
    </cfRule>
    <cfRule type="cellIs" dxfId="38" priority="7" operator="equal">
      <formula>"Watch"</formula>
    </cfRule>
    <cfRule type="cellIs" dxfId="37" priority="8" operator="equal">
      <formula>"Off Track"</formula>
    </cfRule>
    <cfRule type="cellIs" dxfId="36" priority="9" operator="equal">
      <formula>"N/A"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L42"/>
  <sheetViews>
    <sheetView showGridLines="0" zoomScaleNormal="100" workbookViewId="0"/>
  </sheetViews>
  <sheetFormatPr baseColWidth="10" defaultColWidth="8.6640625" defaultRowHeight="15" x14ac:dyDescent="0.2"/>
  <cols>
    <col min="2" max="2" width="84.33203125" customWidth="1"/>
    <col min="3" max="3" width="19.1640625" customWidth="1"/>
    <col min="4" max="4" width="17.6640625" customWidth="1"/>
    <col min="5" max="5" width="13" customWidth="1"/>
    <col min="6" max="6" width="16" customWidth="1"/>
    <col min="7" max="7" width="13.5" customWidth="1"/>
    <col min="8" max="8" width="12.5" customWidth="1"/>
    <col min="9" max="9" width="11.6640625" customWidth="1"/>
    <col min="10" max="10" width="15.1640625" customWidth="1"/>
    <col min="11" max="11" width="9.83203125" customWidth="1"/>
    <col min="12" max="12" width="13" customWidth="1"/>
    <col min="13" max="13" width="4.83203125" customWidth="1"/>
  </cols>
  <sheetData>
    <row r="2" spans="2:12" ht="25.5" customHeight="1" x14ac:dyDescent="0.2">
      <c r="B2" s="12" t="s">
        <v>121</v>
      </c>
      <c r="C2" s="12"/>
      <c r="D2" s="12"/>
      <c r="E2" s="12"/>
      <c r="F2" s="12"/>
      <c r="G2" s="12"/>
      <c r="H2" s="12"/>
      <c r="I2" s="12"/>
      <c r="J2" s="12"/>
      <c r="K2" s="12"/>
      <c r="L2" s="12"/>
    </row>
    <row r="4" spans="2:12" ht="15" customHeight="1" x14ac:dyDescent="0.2">
      <c r="B4" s="15" t="s">
        <v>49</v>
      </c>
      <c r="C4" s="32" t="s">
        <v>111</v>
      </c>
      <c r="E4" s="15" t="s">
        <v>50</v>
      </c>
      <c r="G4" s="33">
        <f ca="1">TODAY()</f>
        <v>46202</v>
      </c>
      <c r="I4" s="11" t="s">
        <v>51</v>
      </c>
      <c r="J4" s="11"/>
      <c r="K4" s="32">
        <v>12</v>
      </c>
    </row>
    <row r="5" spans="2:12" ht="15" customHeight="1" x14ac:dyDescent="0.2">
      <c r="B5" s="15" t="s">
        <v>52</v>
      </c>
      <c r="C5" s="32" t="s">
        <v>122</v>
      </c>
      <c r="E5" s="15" t="s">
        <v>54</v>
      </c>
      <c r="G5" s="32" t="s">
        <v>55</v>
      </c>
      <c r="I5" s="11" t="s">
        <v>56</v>
      </c>
      <c r="J5" s="11"/>
      <c r="K5" s="32">
        <v>6</v>
      </c>
    </row>
    <row r="7" spans="2:12" ht="15.75" customHeight="1" x14ac:dyDescent="0.2">
      <c r="B7" s="10" t="s">
        <v>57</v>
      </c>
      <c r="C7" s="10"/>
      <c r="D7" s="10"/>
      <c r="E7" s="10"/>
      <c r="F7" s="10"/>
      <c r="G7" s="10"/>
      <c r="H7" s="10"/>
      <c r="I7" s="10"/>
      <c r="J7" s="10"/>
      <c r="K7" s="10"/>
    </row>
    <row r="8" spans="2:12" ht="31.5" customHeight="1" x14ac:dyDescent="0.2">
      <c r="B8" s="20" t="s">
        <v>58</v>
      </c>
      <c r="C8" s="20" t="s">
        <v>59</v>
      </c>
      <c r="D8" s="20" t="s">
        <v>60</v>
      </c>
      <c r="E8" s="20" t="s">
        <v>61</v>
      </c>
      <c r="F8" s="20" t="s">
        <v>62</v>
      </c>
      <c r="G8" s="20" t="s">
        <v>63</v>
      </c>
      <c r="H8" s="20" t="s">
        <v>64</v>
      </c>
      <c r="I8" s="20" t="s">
        <v>65</v>
      </c>
      <c r="J8" s="20" t="s">
        <v>66</v>
      </c>
      <c r="K8" s="20" t="s">
        <v>67</v>
      </c>
      <c r="L8" s="20" t="s">
        <v>68</v>
      </c>
    </row>
    <row r="9" spans="2:12" ht="15" customHeight="1" x14ac:dyDescent="0.2">
      <c r="B9" s="34" t="s">
        <v>69</v>
      </c>
      <c r="C9" s="35">
        <v>18000000</v>
      </c>
      <c r="D9" s="36">
        <f t="shared" ref="D9:D17" si="0">C9*$K$5/$K$4</f>
        <v>9000000</v>
      </c>
      <c r="E9" s="35">
        <v>9090000</v>
      </c>
      <c r="F9" s="36">
        <f t="shared" ref="F9:F18" si="1">E9-D9</f>
        <v>90000</v>
      </c>
      <c r="G9" s="37">
        <f t="shared" ref="G9:G18" si="2">IF(D9=0,"N/A",F9/D9)</f>
        <v>0.01</v>
      </c>
      <c r="H9" s="35">
        <v>1515000</v>
      </c>
      <c r="I9" s="36">
        <f t="shared" ref="I9:I18" si="3">IF($K$5=0,"N/A",E9/$K$5)</f>
        <v>1515000</v>
      </c>
      <c r="J9" s="36">
        <f t="shared" ref="J9:J18" si="4">IF(C9=0,"N/A",I9*$K$4)</f>
        <v>18180000</v>
      </c>
      <c r="K9" s="38">
        <f t="shared" ref="K9:K18" si="5">IF($K$4-$K$5&lt;0,0,$K$4-$K$5)</f>
        <v>6</v>
      </c>
      <c r="L9" s="39" t="str">
        <f t="shared" ref="L9:L18" si="6">IF(G9="N/A","N/A",IF(ABS(G9)&lt;=0.1,"On Track",IF(ABS(G9)&lt;=0.2,"Watch","Off Track")))</f>
        <v>On Track</v>
      </c>
    </row>
    <row r="10" spans="2:12" ht="15" customHeight="1" x14ac:dyDescent="0.2">
      <c r="B10" s="34" t="s">
        <v>70</v>
      </c>
      <c r="C10" s="35">
        <v>9000000</v>
      </c>
      <c r="D10" s="36">
        <f t="shared" si="0"/>
        <v>4500000</v>
      </c>
      <c r="E10" s="35">
        <v>4545000</v>
      </c>
      <c r="F10" s="36">
        <f t="shared" si="1"/>
        <v>45000</v>
      </c>
      <c r="G10" s="37">
        <f t="shared" si="2"/>
        <v>0.01</v>
      </c>
      <c r="H10" s="35">
        <v>757500</v>
      </c>
      <c r="I10" s="36">
        <f t="shared" si="3"/>
        <v>757500</v>
      </c>
      <c r="J10" s="36">
        <f t="shared" si="4"/>
        <v>9090000</v>
      </c>
      <c r="K10" s="38">
        <f t="shared" si="5"/>
        <v>6</v>
      </c>
      <c r="L10" s="39" t="str">
        <f t="shared" si="6"/>
        <v>On Track</v>
      </c>
    </row>
    <row r="11" spans="2:12" ht="15" customHeight="1" x14ac:dyDescent="0.2">
      <c r="B11" s="34" t="s">
        <v>71</v>
      </c>
      <c r="C11" s="35">
        <v>7500000</v>
      </c>
      <c r="D11" s="36">
        <f t="shared" si="0"/>
        <v>3750000</v>
      </c>
      <c r="E11" s="35">
        <v>3787500</v>
      </c>
      <c r="F11" s="36">
        <f t="shared" si="1"/>
        <v>37500</v>
      </c>
      <c r="G11" s="37">
        <f t="shared" si="2"/>
        <v>0.01</v>
      </c>
      <c r="H11" s="35">
        <v>631250</v>
      </c>
      <c r="I11" s="36">
        <f t="shared" si="3"/>
        <v>631250</v>
      </c>
      <c r="J11" s="36">
        <f t="shared" si="4"/>
        <v>7575000</v>
      </c>
      <c r="K11" s="38">
        <f t="shared" si="5"/>
        <v>6</v>
      </c>
      <c r="L11" s="39" t="str">
        <f t="shared" si="6"/>
        <v>On Track</v>
      </c>
    </row>
    <row r="12" spans="2:12" ht="15" customHeight="1" x14ac:dyDescent="0.2">
      <c r="B12" s="34" t="s">
        <v>72</v>
      </c>
      <c r="C12" s="35">
        <v>6000000</v>
      </c>
      <c r="D12" s="36">
        <f t="shared" si="0"/>
        <v>3000000</v>
      </c>
      <c r="E12" s="35">
        <v>3030000</v>
      </c>
      <c r="F12" s="36">
        <f t="shared" si="1"/>
        <v>30000</v>
      </c>
      <c r="G12" s="37">
        <f t="shared" si="2"/>
        <v>0.01</v>
      </c>
      <c r="H12" s="35">
        <v>505000</v>
      </c>
      <c r="I12" s="36">
        <f t="shared" si="3"/>
        <v>505000</v>
      </c>
      <c r="J12" s="36">
        <f t="shared" si="4"/>
        <v>6060000</v>
      </c>
      <c r="K12" s="38">
        <f t="shared" si="5"/>
        <v>6</v>
      </c>
      <c r="L12" s="39" t="str">
        <f t="shared" si="6"/>
        <v>On Track</v>
      </c>
    </row>
    <row r="13" spans="2:12" ht="15" customHeight="1" x14ac:dyDescent="0.2">
      <c r="B13" s="34" t="s">
        <v>73</v>
      </c>
      <c r="C13" s="35">
        <v>9500000</v>
      </c>
      <c r="D13" s="36">
        <f t="shared" si="0"/>
        <v>4750000</v>
      </c>
      <c r="E13" s="35">
        <v>4797500</v>
      </c>
      <c r="F13" s="36">
        <f t="shared" si="1"/>
        <v>47500</v>
      </c>
      <c r="G13" s="37">
        <f t="shared" si="2"/>
        <v>0.01</v>
      </c>
      <c r="H13" s="35">
        <v>799583</v>
      </c>
      <c r="I13" s="36">
        <f t="shared" si="3"/>
        <v>799583.33333333337</v>
      </c>
      <c r="J13" s="36">
        <f t="shared" si="4"/>
        <v>9595000</v>
      </c>
      <c r="K13" s="38">
        <f t="shared" si="5"/>
        <v>6</v>
      </c>
      <c r="L13" s="39" t="str">
        <f t="shared" si="6"/>
        <v>On Track</v>
      </c>
    </row>
    <row r="14" spans="2:12" ht="15" customHeight="1" x14ac:dyDescent="0.2">
      <c r="B14" s="34" t="s">
        <v>74</v>
      </c>
      <c r="C14" s="35">
        <v>4000000</v>
      </c>
      <c r="D14" s="36">
        <f t="shared" si="0"/>
        <v>2000000</v>
      </c>
      <c r="E14" s="35">
        <v>2020000</v>
      </c>
      <c r="F14" s="36">
        <f t="shared" si="1"/>
        <v>20000</v>
      </c>
      <c r="G14" s="37">
        <f t="shared" si="2"/>
        <v>0.01</v>
      </c>
      <c r="H14" s="35">
        <v>336667</v>
      </c>
      <c r="I14" s="36">
        <f t="shared" si="3"/>
        <v>336666.66666666669</v>
      </c>
      <c r="J14" s="36">
        <f t="shared" si="4"/>
        <v>4040000</v>
      </c>
      <c r="K14" s="38">
        <f t="shared" si="5"/>
        <v>6</v>
      </c>
      <c r="L14" s="39" t="str">
        <f t="shared" si="6"/>
        <v>On Track</v>
      </c>
    </row>
    <row r="15" spans="2:12" ht="15" customHeight="1" x14ac:dyDescent="0.2">
      <c r="B15" s="34" t="s">
        <v>75</v>
      </c>
      <c r="C15" s="35">
        <v>6500000</v>
      </c>
      <c r="D15" s="36">
        <f t="shared" si="0"/>
        <v>3250000</v>
      </c>
      <c r="E15" s="35">
        <v>3282500</v>
      </c>
      <c r="F15" s="36">
        <f t="shared" si="1"/>
        <v>32500</v>
      </c>
      <c r="G15" s="37">
        <f t="shared" si="2"/>
        <v>0.01</v>
      </c>
      <c r="H15" s="35">
        <v>547083</v>
      </c>
      <c r="I15" s="36">
        <f t="shared" si="3"/>
        <v>547083.33333333337</v>
      </c>
      <c r="J15" s="36">
        <f t="shared" si="4"/>
        <v>6565000</v>
      </c>
      <c r="K15" s="38">
        <f t="shared" si="5"/>
        <v>6</v>
      </c>
      <c r="L15" s="39" t="str">
        <f t="shared" si="6"/>
        <v>On Track</v>
      </c>
    </row>
    <row r="16" spans="2:12" ht="15" customHeight="1" x14ac:dyDescent="0.2">
      <c r="B16" s="34" t="s">
        <v>76</v>
      </c>
      <c r="C16" s="35">
        <v>3000000</v>
      </c>
      <c r="D16" s="36">
        <f t="shared" si="0"/>
        <v>1500000</v>
      </c>
      <c r="E16" s="35">
        <v>1515000</v>
      </c>
      <c r="F16" s="36">
        <f t="shared" si="1"/>
        <v>15000</v>
      </c>
      <c r="G16" s="37">
        <f t="shared" si="2"/>
        <v>0.01</v>
      </c>
      <c r="H16" s="35">
        <v>252500</v>
      </c>
      <c r="I16" s="36">
        <f t="shared" si="3"/>
        <v>252500</v>
      </c>
      <c r="J16" s="36">
        <f t="shared" si="4"/>
        <v>3030000</v>
      </c>
      <c r="K16" s="38">
        <f t="shared" si="5"/>
        <v>6</v>
      </c>
      <c r="L16" s="39" t="str">
        <f t="shared" si="6"/>
        <v>On Track</v>
      </c>
    </row>
    <row r="17" spans="2:12" ht="15" customHeight="1" x14ac:dyDescent="0.2">
      <c r="B17" s="34" t="s">
        <v>77</v>
      </c>
      <c r="C17" s="35">
        <v>5000000</v>
      </c>
      <c r="D17" s="36">
        <f t="shared" si="0"/>
        <v>2500000</v>
      </c>
      <c r="E17" s="35">
        <v>2525000</v>
      </c>
      <c r="F17" s="36">
        <f t="shared" si="1"/>
        <v>25000</v>
      </c>
      <c r="G17" s="37">
        <f t="shared" si="2"/>
        <v>0.01</v>
      </c>
      <c r="H17" s="35">
        <v>420833</v>
      </c>
      <c r="I17" s="36">
        <f t="shared" si="3"/>
        <v>420833.33333333331</v>
      </c>
      <c r="J17" s="36">
        <f t="shared" si="4"/>
        <v>5050000</v>
      </c>
      <c r="K17" s="38">
        <f t="shared" si="5"/>
        <v>6</v>
      </c>
      <c r="L17" s="39" t="str">
        <f t="shared" si="6"/>
        <v>On Track</v>
      </c>
    </row>
    <row r="18" spans="2:12" ht="15" customHeight="1" x14ac:dyDescent="0.2">
      <c r="B18" s="27" t="s">
        <v>78</v>
      </c>
      <c r="C18" s="28">
        <f>SUM(C9:C17)</f>
        <v>68500000</v>
      </c>
      <c r="D18" s="28">
        <f>SUM(D9:D17)</f>
        <v>34250000</v>
      </c>
      <c r="E18" s="28">
        <f>SUM(E9:E17)</f>
        <v>34592500</v>
      </c>
      <c r="F18" s="40">
        <f t="shared" si="1"/>
        <v>342500</v>
      </c>
      <c r="G18" s="41">
        <f t="shared" si="2"/>
        <v>0.01</v>
      </c>
      <c r="H18" s="28">
        <f>SUM(H9:H17)</f>
        <v>5765416</v>
      </c>
      <c r="I18" s="28">
        <f t="shared" si="3"/>
        <v>5765416.666666667</v>
      </c>
      <c r="J18" s="28">
        <f t="shared" si="4"/>
        <v>69185000</v>
      </c>
      <c r="K18" s="40">
        <f t="shared" si="5"/>
        <v>6</v>
      </c>
      <c r="L18" s="42" t="str">
        <f t="shared" si="6"/>
        <v>On Track</v>
      </c>
    </row>
    <row r="19" spans="2:12" ht="15.75" customHeight="1" x14ac:dyDescent="0.2">
      <c r="B19" s="9" t="s">
        <v>79</v>
      </c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2:12" ht="31.5" customHeight="1" x14ac:dyDescent="0.2"/>
    <row r="21" spans="2:12" ht="27.75" customHeight="1" x14ac:dyDescent="0.2">
      <c r="B21" s="8" t="s">
        <v>80</v>
      </c>
      <c r="C21" s="8"/>
      <c r="D21" s="8"/>
      <c r="E21" s="8"/>
      <c r="F21" s="8"/>
      <c r="G21" s="8"/>
      <c r="H21" s="8"/>
      <c r="I21" s="8"/>
      <c r="J21" s="8"/>
      <c r="K21" s="8"/>
      <c r="L21" s="8"/>
    </row>
    <row r="22" spans="2:12" ht="31.5" customHeight="1" x14ac:dyDescent="0.2">
      <c r="B22" s="43" t="s">
        <v>81</v>
      </c>
      <c r="C22" s="43" t="s">
        <v>82</v>
      </c>
      <c r="D22" s="43" t="s">
        <v>83</v>
      </c>
      <c r="E22" s="43" t="s">
        <v>84</v>
      </c>
      <c r="F22" s="43" t="s">
        <v>85</v>
      </c>
      <c r="G22" s="43" t="s">
        <v>86</v>
      </c>
      <c r="L22" s="43" t="s">
        <v>68</v>
      </c>
    </row>
    <row r="23" spans="2:12" ht="27.75" customHeight="1" x14ac:dyDescent="0.2">
      <c r="B23" s="44" t="s">
        <v>87</v>
      </c>
      <c r="C23" s="45" t="s">
        <v>88</v>
      </c>
      <c r="D23" s="46">
        <v>1200</v>
      </c>
      <c r="E23" s="46">
        <f t="shared" ref="E23:E30" si="7">D23*$K$5/$K$4</f>
        <v>600</v>
      </c>
      <c r="F23" s="46">
        <v>546</v>
      </c>
      <c r="G23" s="7">
        <f t="shared" ref="G23:G30" si="8">IF(E23=0,"N/A",F23/E23)</f>
        <v>0.91</v>
      </c>
      <c r="H23" s="7"/>
      <c r="I23" s="7"/>
      <c r="J23" s="7"/>
      <c r="K23" s="7"/>
      <c r="L23" s="39" t="str">
        <f t="shared" ref="L23:L30" si="9">IF(G23="N/A","N/A",IF(G23&gt;=0.9,"On Track",IF(G23&gt;=0.75,"Watch","Off Track")))</f>
        <v>On Track</v>
      </c>
    </row>
    <row r="24" spans="2:12" ht="27.75" customHeight="1" x14ac:dyDescent="0.2">
      <c r="B24" s="44" t="s">
        <v>89</v>
      </c>
      <c r="C24" s="45" t="s">
        <v>88</v>
      </c>
      <c r="D24" s="46">
        <v>600</v>
      </c>
      <c r="E24" s="46">
        <f t="shared" si="7"/>
        <v>300</v>
      </c>
      <c r="F24" s="46">
        <v>273</v>
      </c>
      <c r="G24" s="7">
        <f t="shared" si="8"/>
        <v>0.91</v>
      </c>
      <c r="H24" s="7"/>
      <c r="I24" s="7"/>
      <c r="J24" s="7"/>
      <c r="K24" s="7"/>
      <c r="L24" s="39" t="str">
        <f t="shared" si="9"/>
        <v>On Track</v>
      </c>
    </row>
    <row r="25" spans="2:12" ht="27.75" customHeight="1" x14ac:dyDescent="0.2">
      <c r="B25" s="44" t="s">
        <v>90</v>
      </c>
      <c r="C25" s="45" t="s">
        <v>88</v>
      </c>
      <c r="D25" s="46">
        <v>900</v>
      </c>
      <c r="E25" s="46">
        <f t="shared" si="7"/>
        <v>450</v>
      </c>
      <c r="F25" s="46">
        <v>410</v>
      </c>
      <c r="G25" s="7">
        <f t="shared" si="8"/>
        <v>0.91111111111111109</v>
      </c>
      <c r="H25" s="7"/>
      <c r="I25" s="7"/>
      <c r="J25" s="7"/>
      <c r="K25" s="7"/>
      <c r="L25" s="39" t="str">
        <f t="shared" si="9"/>
        <v>On Track</v>
      </c>
    </row>
    <row r="26" spans="2:12" ht="27.75" customHeight="1" x14ac:dyDescent="0.2">
      <c r="B26" s="44" t="s">
        <v>91</v>
      </c>
      <c r="C26" s="45" t="s">
        <v>88</v>
      </c>
      <c r="D26" s="46">
        <v>450</v>
      </c>
      <c r="E26" s="46">
        <f t="shared" si="7"/>
        <v>225</v>
      </c>
      <c r="F26" s="46">
        <v>205</v>
      </c>
      <c r="G26" s="7">
        <f t="shared" si="8"/>
        <v>0.91111111111111109</v>
      </c>
      <c r="H26" s="7"/>
      <c r="I26" s="7"/>
      <c r="J26" s="7"/>
      <c r="K26" s="7"/>
      <c r="L26" s="39" t="str">
        <f t="shared" si="9"/>
        <v>On Track</v>
      </c>
    </row>
    <row r="27" spans="2:12" ht="27.75" customHeight="1" x14ac:dyDescent="0.2">
      <c r="B27" s="44" t="s">
        <v>92</v>
      </c>
      <c r="C27" s="45" t="s">
        <v>88</v>
      </c>
      <c r="D27" s="46">
        <v>1500</v>
      </c>
      <c r="E27" s="46">
        <f t="shared" si="7"/>
        <v>750</v>
      </c>
      <c r="F27" s="46">
        <v>682</v>
      </c>
      <c r="G27" s="7">
        <f t="shared" si="8"/>
        <v>0.90933333333333333</v>
      </c>
      <c r="H27" s="7"/>
      <c r="I27" s="7"/>
      <c r="J27" s="7"/>
      <c r="K27" s="7"/>
      <c r="L27" s="39" t="str">
        <f t="shared" si="9"/>
        <v>On Track</v>
      </c>
    </row>
    <row r="28" spans="2:12" ht="27.75" customHeight="1" x14ac:dyDescent="0.2">
      <c r="B28" s="44" t="s">
        <v>93</v>
      </c>
      <c r="C28" s="45" t="s">
        <v>88</v>
      </c>
      <c r="D28" s="46">
        <v>300</v>
      </c>
      <c r="E28" s="46">
        <f t="shared" si="7"/>
        <v>150</v>
      </c>
      <c r="F28" s="46">
        <v>136</v>
      </c>
      <c r="G28" s="7">
        <f t="shared" si="8"/>
        <v>0.90666666666666662</v>
      </c>
      <c r="H28" s="7"/>
      <c r="I28" s="7"/>
      <c r="J28" s="7"/>
      <c r="K28" s="7"/>
      <c r="L28" s="39" t="str">
        <f t="shared" si="9"/>
        <v>On Track</v>
      </c>
    </row>
    <row r="29" spans="2:12" ht="27.75" customHeight="1" x14ac:dyDescent="0.2">
      <c r="B29" s="44" t="s">
        <v>94</v>
      </c>
      <c r="C29" s="45" t="s">
        <v>88</v>
      </c>
      <c r="D29" s="46">
        <v>750</v>
      </c>
      <c r="E29" s="46">
        <f t="shared" si="7"/>
        <v>375</v>
      </c>
      <c r="F29" s="46">
        <v>341</v>
      </c>
      <c r="G29" s="7">
        <f t="shared" si="8"/>
        <v>0.90933333333333333</v>
      </c>
      <c r="H29" s="7"/>
      <c r="I29" s="7"/>
      <c r="J29" s="7"/>
      <c r="K29" s="7"/>
      <c r="L29" s="39" t="str">
        <f t="shared" si="9"/>
        <v>On Track</v>
      </c>
    </row>
    <row r="30" spans="2:12" ht="27.75" customHeight="1" x14ac:dyDescent="0.2">
      <c r="B30" s="44" t="s">
        <v>95</v>
      </c>
      <c r="C30" s="45" t="s">
        <v>88</v>
      </c>
      <c r="D30" s="46">
        <v>200</v>
      </c>
      <c r="E30" s="46">
        <f t="shared" si="7"/>
        <v>100</v>
      </c>
      <c r="F30" s="46">
        <v>91</v>
      </c>
      <c r="G30" s="7">
        <f t="shared" si="8"/>
        <v>0.91</v>
      </c>
      <c r="H30" s="7"/>
      <c r="I30" s="7"/>
      <c r="J30" s="7"/>
      <c r="K30" s="7"/>
      <c r="L30" s="39" t="str">
        <f t="shared" si="9"/>
        <v>On Track</v>
      </c>
    </row>
    <row r="31" spans="2:12" ht="21.75" customHeight="1" x14ac:dyDescent="0.2">
      <c r="B31" s="9" t="s">
        <v>96</v>
      </c>
      <c r="C31" s="9"/>
      <c r="D31" s="9"/>
      <c r="E31" s="9"/>
      <c r="F31" s="9"/>
      <c r="G31" s="9"/>
      <c r="H31" s="9"/>
      <c r="I31" s="9"/>
      <c r="J31" s="9"/>
      <c r="K31" s="9"/>
      <c r="L31" s="9"/>
    </row>
    <row r="33" spans="2:12" ht="15" customHeight="1" x14ac:dyDescent="0.2">
      <c r="B33" s="6" t="s">
        <v>97</v>
      </c>
      <c r="C33" s="6"/>
      <c r="D33" s="6"/>
      <c r="E33" s="6"/>
      <c r="F33" s="6"/>
      <c r="G33" s="6"/>
      <c r="H33" s="6"/>
      <c r="I33" s="6"/>
      <c r="J33" s="6"/>
      <c r="K33" s="6"/>
      <c r="L33" s="6"/>
    </row>
    <row r="34" spans="2:12" ht="15" customHeight="1" x14ac:dyDescent="0.2">
      <c r="B34" s="11" t="s">
        <v>98</v>
      </c>
      <c r="C34" s="11"/>
      <c r="D34" s="11"/>
      <c r="E34" s="47" t="str">
        <f>L18</f>
        <v>On Track</v>
      </c>
      <c r="F34" s="11" t="s">
        <v>99</v>
      </c>
      <c r="G34" s="11"/>
      <c r="H34" s="11"/>
      <c r="I34" s="11"/>
      <c r="J34" s="5" t="str">
        <f>COUNTIF(L9:L17,"Off Track")&amp;" of "&amp;COUNTA(L9:L17)</f>
        <v>0 of 9</v>
      </c>
      <c r="K34" s="5"/>
    </row>
    <row r="35" spans="2:12" ht="15" customHeight="1" x14ac:dyDescent="0.2">
      <c r="B35" s="11" t="s">
        <v>100</v>
      </c>
      <c r="C35" s="11"/>
      <c r="D35" s="11"/>
      <c r="E35" s="47" t="str">
        <f>IF(COUNTIF(L23:L30,"Off Track")&gt;0,"Off Track",IF(COUNTIF(L23:L30,"Watch")&gt;0,"Watch","On Track"))</f>
        <v>On Track</v>
      </c>
      <c r="F35" s="11" t="s">
        <v>101</v>
      </c>
      <c r="G35" s="11"/>
      <c r="H35" s="11"/>
      <c r="I35" s="11"/>
      <c r="J35" s="5" t="str">
        <f>COUNTIF(L23:L30,"Off Track")&amp;" of "&amp;COUNTA(L23:L30)</f>
        <v>0 of 8</v>
      </c>
      <c r="K35" s="5"/>
    </row>
    <row r="36" spans="2:12" ht="21.75" customHeight="1" x14ac:dyDescent="0.2">
      <c r="B36" s="4" t="s">
        <v>102</v>
      </c>
      <c r="C36" s="4"/>
      <c r="D36" s="4"/>
      <c r="E36" s="48" t="str">
        <f>IF(OR(E34="Off Track",E35="Off Track"),"Off Track",IF(OR(E34="Watch",E35="Watch"),"Watch","On Track"))</f>
        <v>On Track</v>
      </c>
    </row>
    <row r="38" spans="2:12" ht="15" customHeight="1" x14ac:dyDescent="0.2">
      <c r="B38" s="15" t="s">
        <v>103</v>
      </c>
    </row>
    <row r="39" spans="2:12" ht="15" customHeight="1" x14ac:dyDescent="0.2">
      <c r="B39" s="3" t="s">
        <v>104</v>
      </c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2:12" ht="15" customHeight="1" x14ac:dyDescent="0.2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2:12" ht="15" customHeight="1" x14ac:dyDescent="0.2"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2:12" ht="15" customHeight="1" x14ac:dyDescent="0.2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</sheetData>
  <mergeCells count="24">
    <mergeCell ref="B36:D36"/>
    <mergeCell ref="B39:L42"/>
    <mergeCell ref="B33:L33"/>
    <mergeCell ref="B34:D34"/>
    <mergeCell ref="F34:I34"/>
    <mergeCell ref="J34:K34"/>
    <mergeCell ref="B35:D35"/>
    <mergeCell ref="F35:I35"/>
    <mergeCell ref="J35:K35"/>
    <mergeCell ref="G27:K27"/>
    <mergeCell ref="G28:K28"/>
    <mergeCell ref="G29:K29"/>
    <mergeCell ref="G30:K30"/>
    <mergeCell ref="B31:L31"/>
    <mergeCell ref="B21:L21"/>
    <mergeCell ref="G23:K23"/>
    <mergeCell ref="G24:K24"/>
    <mergeCell ref="G25:K25"/>
    <mergeCell ref="G26:K26"/>
    <mergeCell ref="B2:L2"/>
    <mergeCell ref="I4:J4"/>
    <mergeCell ref="I5:J5"/>
    <mergeCell ref="B7:K7"/>
    <mergeCell ref="B19:L19"/>
  </mergeCells>
  <conditionalFormatting sqref="E34:E36">
    <cfRule type="cellIs" dxfId="35" priority="10" operator="equal">
      <formula>"On Track"</formula>
    </cfRule>
    <cfRule type="cellIs" dxfId="34" priority="11" operator="equal">
      <formula>"Watch"</formula>
    </cfRule>
    <cfRule type="cellIs" dxfId="33" priority="12" operator="equal">
      <formula>"Off Track"</formula>
    </cfRule>
    <cfRule type="cellIs" dxfId="32" priority="13" operator="equal">
      <formula>"N/A"</formula>
    </cfRule>
  </conditionalFormatting>
  <conditionalFormatting sqref="L9:L18">
    <cfRule type="cellIs" dxfId="31" priority="2" operator="equal">
      <formula>"On Track"</formula>
    </cfRule>
    <cfRule type="cellIs" dxfId="30" priority="3" operator="equal">
      <formula>"Watch"</formula>
    </cfRule>
    <cfRule type="cellIs" dxfId="29" priority="4" operator="equal">
      <formula>"Off Track"</formula>
    </cfRule>
    <cfRule type="cellIs" dxfId="28" priority="5" operator="equal">
      <formula>"N/A"</formula>
    </cfRule>
  </conditionalFormatting>
  <conditionalFormatting sqref="L23:L30">
    <cfRule type="cellIs" dxfId="27" priority="6" operator="equal">
      <formula>"On Track"</formula>
    </cfRule>
    <cfRule type="cellIs" dxfId="26" priority="7" operator="equal">
      <formula>"Watch"</formula>
    </cfRule>
    <cfRule type="cellIs" dxfId="25" priority="8" operator="equal">
      <formula>"Off Track"</formula>
    </cfRule>
    <cfRule type="cellIs" dxfId="24" priority="9" operator="equal">
      <formula>"N/A"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L42"/>
  <sheetViews>
    <sheetView showGridLines="0" zoomScaleNormal="100" workbookViewId="0"/>
  </sheetViews>
  <sheetFormatPr baseColWidth="10" defaultColWidth="8.6640625" defaultRowHeight="15" x14ac:dyDescent="0.2"/>
  <cols>
    <col min="2" max="2" width="84.33203125" customWidth="1"/>
    <col min="3" max="3" width="19.1640625" customWidth="1"/>
    <col min="4" max="4" width="17.6640625" customWidth="1"/>
    <col min="5" max="5" width="13" customWidth="1"/>
    <col min="6" max="6" width="16" customWidth="1"/>
    <col min="7" max="7" width="13.5" customWidth="1"/>
    <col min="8" max="8" width="12.5" customWidth="1"/>
    <col min="9" max="9" width="11.6640625" customWidth="1"/>
    <col min="10" max="10" width="15.1640625" customWidth="1"/>
    <col min="11" max="11" width="9.83203125" customWidth="1"/>
    <col min="12" max="12" width="13" customWidth="1"/>
    <col min="13" max="13" width="4.83203125" customWidth="1"/>
  </cols>
  <sheetData>
    <row r="2" spans="2:12" ht="25.5" customHeight="1" x14ac:dyDescent="0.2">
      <c r="B2" s="12" t="s">
        <v>123</v>
      </c>
      <c r="C2" s="12"/>
      <c r="D2" s="12"/>
      <c r="E2" s="12"/>
      <c r="F2" s="12"/>
      <c r="G2" s="12"/>
      <c r="H2" s="12"/>
      <c r="I2" s="12"/>
      <c r="J2" s="12"/>
      <c r="K2" s="12"/>
      <c r="L2" s="12"/>
    </row>
    <row r="4" spans="2:12" ht="15" customHeight="1" x14ac:dyDescent="0.2">
      <c r="B4" s="15" t="s">
        <v>49</v>
      </c>
      <c r="C4" s="32" t="s">
        <v>124</v>
      </c>
      <c r="E4" s="15" t="s">
        <v>50</v>
      </c>
      <c r="G4" s="33">
        <f ca="1">TODAY()</f>
        <v>46202</v>
      </c>
      <c r="I4" s="11" t="s">
        <v>51</v>
      </c>
      <c r="J4" s="11"/>
      <c r="K4" s="32">
        <v>12</v>
      </c>
    </row>
    <row r="5" spans="2:12" ht="15" customHeight="1" x14ac:dyDescent="0.2">
      <c r="B5" s="15" t="s">
        <v>52</v>
      </c>
      <c r="C5" s="32" t="s">
        <v>125</v>
      </c>
      <c r="E5" s="15" t="s">
        <v>54</v>
      </c>
      <c r="G5" s="32" t="s">
        <v>55</v>
      </c>
      <c r="I5" s="11" t="s">
        <v>56</v>
      </c>
      <c r="J5" s="11"/>
      <c r="K5" s="32">
        <v>7</v>
      </c>
    </row>
    <row r="7" spans="2:12" ht="15.75" customHeight="1" x14ac:dyDescent="0.2">
      <c r="B7" s="10" t="s">
        <v>57</v>
      </c>
      <c r="C7" s="10"/>
      <c r="D7" s="10"/>
      <c r="E7" s="10"/>
      <c r="F7" s="10"/>
      <c r="G7" s="10"/>
      <c r="H7" s="10"/>
      <c r="I7" s="10"/>
      <c r="J7" s="10"/>
      <c r="K7" s="10"/>
    </row>
    <row r="8" spans="2:12" ht="31.5" customHeight="1" x14ac:dyDescent="0.2">
      <c r="B8" s="20" t="s">
        <v>58</v>
      </c>
      <c r="C8" s="20" t="s">
        <v>59</v>
      </c>
      <c r="D8" s="20" t="s">
        <v>60</v>
      </c>
      <c r="E8" s="20" t="s">
        <v>61</v>
      </c>
      <c r="F8" s="20" t="s">
        <v>62</v>
      </c>
      <c r="G8" s="20" t="s">
        <v>63</v>
      </c>
      <c r="H8" s="20" t="s">
        <v>64</v>
      </c>
      <c r="I8" s="20" t="s">
        <v>65</v>
      </c>
      <c r="J8" s="20" t="s">
        <v>66</v>
      </c>
      <c r="K8" s="20" t="s">
        <v>67</v>
      </c>
      <c r="L8" s="20" t="s">
        <v>68</v>
      </c>
    </row>
    <row r="9" spans="2:12" ht="15" customHeight="1" x14ac:dyDescent="0.2">
      <c r="B9" s="34" t="s">
        <v>69</v>
      </c>
      <c r="C9" s="35">
        <v>18000000</v>
      </c>
      <c r="D9" s="36">
        <f t="shared" ref="D9:D17" si="0">C9*$K$5/$K$4</f>
        <v>10500000</v>
      </c>
      <c r="E9" s="35">
        <v>13650000</v>
      </c>
      <c r="F9" s="36">
        <f t="shared" ref="F9:F18" si="1">E9-D9</f>
        <v>3150000</v>
      </c>
      <c r="G9" s="37">
        <f t="shared" ref="G9:G18" si="2">IF(D9=0,"N/A",F9/D9)</f>
        <v>0.3</v>
      </c>
      <c r="H9" s="35">
        <v>1950000</v>
      </c>
      <c r="I9" s="36">
        <f t="shared" ref="I9:I18" si="3">IF($K$5=0,"N/A",E9/$K$5)</f>
        <v>1950000</v>
      </c>
      <c r="J9" s="36">
        <f t="shared" ref="J9:J18" si="4">IF(C9=0,"N/A",I9*$K$4)</f>
        <v>23400000</v>
      </c>
      <c r="K9" s="38">
        <f t="shared" ref="K9:K18" si="5">IF($K$4-$K$5&lt;0,0,$K$4-$K$5)</f>
        <v>5</v>
      </c>
      <c r="L9" s="39" t="str">
        <f t="shared" ref="L9:L18" si="6">IF(G9="N/A","N/A",IF(ABS(G9)&lt;=0.1,"On Track",IF(ABS(G9)&lt;=0.2,"Watch","Off Track")))</f>
        <v>Off Track</v>
      </c>
    </row>
    <row r="10" spans="2:12" ht="15" customHeight="1" x14ac:dyDescent="0.2">
      <c r="B10" s="34" t="s">
        <v>70</v>
      </c>
      <c r="C10" s="35">
        <v>9000000</v>
      </c>
      <c r="D10" s="36">
        <f t="shared" si="0"/>
        <v>5250000</v>
      </c>
      <c r="E10" s="35">
        <v>6825000</v>
      </c>
      <c r="F10" s="36">
        <f t="shared" si="1"/>
        <v>1575000</v>
      </c>
      <c r="G10" s="37">
        <f t="shared" si="2"/>
        <v>0.3</v>
      </c>
      <c r="H10" s="35">
        <v>975000</v>
      </c>
      <c r="I10" s="36">
        <f t="shared" si="3"/>
        <v>975000</v>
      </c>
      <c r="J10" s="36">
        <f t="shared" si="4"/>
        <v>11700000</v>
      </c>
      <c r="K10" s="38">
        <f t="shared" si="5"/>
        <v>5</v>
      </c>
      <c r="L10" s="39" t="str">
        <f t="shared" si="6"/>
        <v>Off Track</v>
      </c>
    </row>
    <row r="11" spans="2:12" ht="15" customHeight="1" x14ac:dyDescent="0.2">
      <c r="B11" s="34" t="s">
        <v>71</v>
      </c>
      <c r="C11" s="35">
        <v>7500000</v>
      </c>
      <c r="D11" s="36">
        <f t="shared" si="0"/>
        <v>4375000</v>
      </c>
      <c r="E11" s="35">
        <v>5687500</v>
      </c>
      <c r="F11" s="36">
        <f t="shared" si="1"/>
        <v>1312500</v>
      </c>
      <c r="G11" s="37">
        <f t="shared" si="2"/>
        <v>0.3</v>
      </c>
      <c r="H11" s="35">
        <v>812500</v>
      </c>
      <c r="I11" s="36">
        <f t="shared" si="3"/>
        <v>812500</v>
      </c>
      <c r="J11" s="36">
        <f t="shared" si="4"/>
        <v>9750000</v>
      </c>
      <c r="K11" s="38">
        <f t="shared" si="5"/>
        <v>5</v>
      </c>
      <c r="L11" s="39" t="str">
        <f t="shared" si="6"/>
        <v>Off Track</v>
      </c>
    </row>
    <row r="12" spans="2:12" ht="15" customHeight="1" x14ac:dyDescent="0.2">
      <c r="B12" s="34" t="s">
        <v>72</v>
      </c>
      <c r="C12" s="35">
        <v>6000000</v>
      </c>
      <c r="D12" s="36">
        <f t="shared" si="0"/>
        <v>3500000</v>
      </c>
      <c r="E12" s="35">
        <v>4550000</v>
      </c>
      <c r="F12" s="36">
        <f t="shared" si="1"/>
        <v>1050000</v>
      </c>
      <c r="G12" s="37">
        <f t="shared" si="2"/>
        <v>0.3</v>
      </c>
      <c r="H12" s="35">
        <v>650000</v>
      </c>
      <c r="I12" s="36">
        <f t="shared" si="3"/>
        <v>650000</v>
      </c>
      <c r="J12" s="36">
        <f t="shared" si="4"/>
        <v>7800000</v>
      </c>
      <c r="K12" s="38">
        <f t="shared" si="5"/>
        <v>5</v>
      </c>
      <c r="L12" s="39" t="str">
        <f t="shared" si="6"/>
        <v>Off Track</v>
      </c>
    </row>
    <row r="13" spans="2:12" ht="15" customHeight="1" x14ac:dyDescent="0.2">
      <c r="B13" s="34" t="s">
        <v>73</v>
      </c>
      <c r="C13" s="35">
        <v>9500000</v>
      </c>
      <c r="D13" s="36">
        <f t="shared" si="0"/>
        <v>5541666.666666667</v>
      </c>
      <c r="E13" s="35">
        <v>7204167</v>
      </c>
      <c r="F13" s="36">
        <f t="shared" si="1"/>
        <v>1662500.333333333</v>
      </c>
      <c r="G13" s="37">
        <f t="shared" si="2"/>
        <v>0.30000006015037589</v>
      </c>
      <c r="H13" s="35">
        <v>1029167</v>
      </c>
      <c r="I13" s="36">
        <f t="shared" si="3"/>
        <v>1029166.7142857143</v>
      </c>
      <c r="J13" s="36">
        <f t="shared" si="4"/>
        <v>12350000.571428571</v>
      </c>
      <c r="K13" s="38">
        <f t="shared" si="5"/>
        <v>5</v>
      </c>
      <c r="L13" s="39" t="str">
        <f t="shared" si="6"/>
        <v>Off Track</v>
      </c>
    </row>
    <row r="14" spans="2:12" ht="15" customHeight="1" x14ac:dyDescent="0.2">
      <c r="B14" s="34" t="s">
        <v>74</v>
      </c>
      <c r="C14" s="35">
        <v>4000000</v>
      </c>
      <c r="D14" s="36">
        <f t="shared" si="0"/>
        <v>2333333.3333333335</v>
      </c>
      <c r="E14" s="35">
        <v>3033333</v>
      </c>
      <c r="F14" s="36">
        <f t="shared" si="1"/>
        <v>699999.66666666651</v>
      </c>
      <c r="G14" s="37">
        <f t="shared" si="2"/>
        <v>0.29999985714285704</v>
      </c>
      <c r="H14" s="35">
        <v>433333</v>
      </c>
      <c r="I14" s="36">
        <f t="shared" si="3"/>
        <v>433333.28571428574</v>
      </c>
      <c r="J14" s="36">
        <f t="shared" si="4"/>
        <v>5199999.4285714291</v>
      </c>
      <c r="K14" s="38">
        <f t="shared" si="5"/>
        <v>5</v>
      </c>
      <c r="L14" s="39" t="str">
        <f t="shared" si="6"/>
        <v>Off Track</v>
      </c>
    </row>
    <row r="15" spans="2:12" ht="15" customHeight="1" x14ac:dyDescent="0.2">
      <c r="B15" s="34" t="s">
        <v>75</v>
      </c>
      <c r="C15" s="35">
        <v>6500000</v>
      </c>
      <c r="D15" s="36">
        <f t="shared" si="0"/>
        <v>3791666.6666666665</v>
      </c>
      <c r="E15" s="35">
        <v>4929167</v>
      </c>
      <c r="F15" s="36">
        <f t="shared" si="1"/>
        <v>1137500.3333333335</v>
      </c>
      <c r="G15" s="37">
        <f t="shared" si="2"/>
        <v>0.30000008791208799</v>
      </c>
      <c r="H15" s="35">
        <v>704167</v>
      </c>
      <c r="I15" s="36">
        <f t="shared" si="3"/>
        <v>704166.71428571432</v>
      </c>
      <c r="J15" s="36">
        <f t="shared" si="4"/>
        <v>8450000.5714285709</v>
      </c>
      <c r="K15" s="38">
        <f t="shared" si="5"/>
        <v>5</v>
      </c>
      <c r="L15" s="39" t="str">
        <f t="shared" si="6"/>
        <v>Off Track</v>
      </c>
    </row>
    <row r="16" spans="2:12" ht="15" customHeight="1" x14ac:dyDescent="0.2">
      <c r="B16" s="34" t="s">
        <v>76</v>
      </c>
      <c r="C16" s="35">
        <v>3000000</v>
      </c>
      <c r="D16" s="36">
        <f t="shared" si="0"/>
        <v>1750000</v>
      </c>
      <c r="E16" s="35">
        <v>2275000</v>
      </c>
      <c r="F16" s="36">
        <f t="shared" si="1"/>
        <v>525000</v>
      </c>
      <c r="G16" s="37">
        <f t="shared" si="2"/>
        <v>0.3</v>
      </c>
      <c r="H16" s="35">
        <v>325000</v>
      </c>
      <c r="I16" s="36">
        <f t="shared" si="3"/>
        <v>325000</v>
      </c>
      <c r="J16" s="36">
        <f t="shared" si="4"/>
        <v>3900000</v>
      </c>
      <c r="K16" s="38">
        <f t="shared" si="5"/>
        <v>5</v>
      </c>
      <c r="L16" s="39" t="str">
        <f t="shared" si="6"/>
        <v>Off Track</v>
      </c>
    </row>
    <row r="17" spans="2:12" ht="15" customHeight="1" x14ac:dyDescent="0.2">
      <c r="B17" s="34" t="s">
        <v>77</v>
      </c>
      <c r="C17" s="35">
        <v>5000000</v>
      </c>
      <c r="D17" s="36">
        <f t="shared" si="0"/>
        <v>2916666.6666666665</v>
      </c>
      <c r="E17" s="35">
        <v>3791667</v>
      </c>
      <c r="F17" s="36">
        <f t="shared" si="1"/>
        <v>875000.33333333349</v>
      </c>
      <c r="G17" s="37">
        <f t="shared" si="2"/>
        <v>0.30000011428571438</v>
      </c>
      <c r="H17" s="35">
        <v>541667</v>
      </c>
      <c r="I17" s="36">
        <f t="shared" si="3"/>
        <v>541666.71428571432</v>
      </c>
      <c r="J17" s="36">
        <f t="shared" si="4"/>
        <v>6500000.5714285718</v>
      </c>
      <c r="K17" s="38">
        <f t="shared" si="5"/>
        <v>5</v>
      </c>
      <c r="L17" s="39" t="str">
        <f t="shared" si="6"/>
        <v>Off Track</v>
      </c>
    </row>
    <row r="18" spans="2:12" ht="15" customHeight="1" x14ac:dyDescent="0.2">
      <c r="B18" s="27" t="s">
        <v>78</v>
      </c>
      <c r="C18" s="28">
        <f>SUM(C9:C17)</f>
        <v>68500000</v>
      </c>
      <c r="D18" s="28">
        <f>SUM(D9:D17)</f>
        <v>39958333.333333328</v>
      </c>
      <c r="E18" s="28">
        <f>SUM(E9:E17)</f>
        <v>51945834</v>
      </c>
      <c r="F18" s="40">
        <f t="shared" si="1"/>
        <v>11987500.666666672</v>
      </c>
      <c r="G18" s="41">
        <f t="shared" si="2"/>
        <v>0.30000001668404602</v>
      </c>
      <c r="H18" s="28">
        <f>SUM(H9:H17)</f>
        <v>7420834</v>
      </c>
      <c r="I18" s="28">
        <f t="shared" si="3"/>
        <v>7420833.4285714282</v>
      </c>
      <c r="J18" s="28">
        <f t="shared" si="4"/>
        <v>89050001.142857134</v>
      </c>
      <c r="K18" s="40">
        <f t="shared" si="5"/>
        <v>5</v>
      </c>
      <c r="L18" s="42" t="str">
        <f t="shared" si="6"/>
        <v>Off Track</v>
      </c>
    </row>
    <row r="19" spans="2:12" ht="15.75" customHeight="1" x14ac:dyDescent="0.2">
      <c r="B19" s="9" t="s">
        <v>79</v>
      </c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2:12" ht="31.5" customHeight="1" x14ac:dyDescent="0.2"/>
    <row r="21" spans="2:12" ht="27.75" customHeight="1" x14ac:dyDescent="0.2">
      <c r="B21" s="8" t="s">
        <v>80</v>
      </c>
      <c r="C21" s="8"/>
      <c r="D21" s="8"/>
      <c r="E21" s="8"/>
      <c r="F21" s="8"/>
      <c r="G21" s="8"/>
      <c r="H21" s="8"/>
      <c r="I21" s="8"/>
      <c r="J21" s="8"/>
      <c r="K21" s="8"/>
      <c r="L21" s="8"/>
    </row>
    <row r="22" spans="2:12" ht="31.5" customHeight="1" x14ac:dyDescent="0.2">
      <c r="B22" s="43" t="s">
        <v>81</v>
      </c>
      <c r="C22" s="43" t="s">
        <v>82</v>
      </c>
      <c r="D22" s="43" t="s">
        <v>83</v>
      </c>
      <c r="E22" s="43" t="s">
        <v>84</v>
      </c>
      <c r="F22" s="43" t="s">
        <v>85</v>
      </c>
      <c r="G22" s="43" t="s">
        <v>86</v>
      </c>
      <c r="L22" s="43" t="s">
        <v>68</v>
      </c>
    </row>
    <row r="23" spans="2:12" ht="27.75" customHeight="1" x14ac:dyDescent="0.2">
      <c r="B23" s="44" t="s">
        <v>87</v>
      </c>
      <c r="C23" s="45" t="s">
        <v>88</v>
      </c>
      <c r="D23" s="46">
        <v>1200</v>
      </c>
      <c r="E23" s="46">
        <f t="shared" ref="E23:E30" si="7">D23*$K$5/$K$4</f>
        <v>700</v>
      </c>
      <c r="F23" s="46">
        <v>455</v>
      </c>
      <c r="G23" s="7">
        <f t="shared" ref="G23:G30" si="8">IF(E23=0,"N/A",F23/E23)</f>
        <v>0.65</v>
      </c>
      <c r="H23" s="7"/>
      <c r="I23" s="7"/>
      <c r="J23" s="7"/>
      <c r="K23" s="7"/>
      <c r="L23" s="39" t="str">
        <f t="shared" ref="L23:L30" si="9">IF(G23="N/A","N/A",IF(G23&gt;=0.9,"On Track",IF(G23&gt;=0.75,"Watch","Off Track")))</f>
        <v>Off Track</v>
      </c>
    </row>
    <row r="24" spans="2:12" ht="27.75" customHeight="1" x14ac:dyDescent="0.2">
      <c r="B24" s="44" t="s">
        <v>89</v>
      </c>
      <c r="C24" s="45" t="s">
        <v>88</v>
      </c>
      <c r="D24" s="46">
        <v>600</v>
      </c>
      <c r="E24" s="46">
        <f t="shared" si="7"/>
        <v>350</v>
      </c>
      <c r="F24" s="46">
        <v>228</v>
      </c>
      <c r="G24" s="7">
        <f t="shared" si="8"/>
        <v>0.65142857142857147</v>
      </c>
      <c r="H24" s="7"/>
      <c r="I24" s="7"/>
      <c r="J24" s="7"/>
      <c r="K24" s="7"/>
      <c r="L24" s="39" t="str">
        <f t="shared" si="9"/>
        <v>Off Track</v>
      </c>
    </row>
    <row r="25" spans="2:12" ht="27.75" customHeight="1" x14ac:dyDescent="0.2">
      <c r="B25" s="44" t="s">
        <v>90</v>
      </c>
      <c r="C25" s="45" t="s">
        <v>88</v>
      </c>
      <c r="D25" s="46">
        <v>900</v>
      </c>
      <c r="E25" s="46">
        <f t="shared" si="7"/>
        <v>525</v>
      </c>
      <c r="F25" s="46">
        <v>341</v>
      </c>
      <c r="G25" s="7">
        <f t="shared" si="8"/>
        <v>0.6495238095238095</v>
      </c>
      <c r="H25" s="7"/>
      <c r="I25" s="7"/>
      <c r="J25" s="7"/>
      <c r="K25" s="7"/>
      <c r="L25" s="39" t="str">
        <f t="shared" si="9"/>
        <v>Off Track</v>
      </c>
    </row>
    <row r="26" spans="2:12" ht="27.75" customHeight="1" x14ac:dyDescent="0.2">
      <c r="B26" s="44" t="s">
        <v>91</v>
      </c>
      <c r="C26" s="45" t="s">
        <v>88</v>
      </c>
      <c r="D26" s="46">
        <v>450</v>
      </c>
      <c r="E26" s="46">
        <f t="shared" si="7"/>
        <v>262.5</v>
      </c>
      <c r="F26" s="46">
        <v>171</v>
      </c>
      <c r="G26" s="7">
        <f t="shared" si="8"/>
        <v>0.65142857142857147</v>
      </c>
      <c r="H26" s="7"/>
      <c r="I26" s="7"/>
      <c r="J26" s="7"/>
      <c r="K26" s="7"/>
      <c r="L26" s="39" t="str">
        <f t="shared" si="9"/>
        <v>Off Track</v>
      </c>
    </row>
    <row r="27" spans="2:12" ht="27.75" customHeight="1" x14ac:dyDescent="0.2">
      <c r="B27" s="44" t="s">
        <v>92</v>
      </c>
      <c r="C27" s="45" t="s">
        <v>88</v>
      </c>
      <c r="D27" s="46">
        <v>1500</v>
      </c>
      <c r="E27" s="46">
        <f t="shared" si="7"/>
        <v>875</v>
      </c>
      <c r="F27" s="46">
        <v>569</v>
      </c>
      <c r="G27" s="7">
        <f t="shared" si="8"/>
        <v>0.65028571428571424</v>
      </c>
      <c r="H27" s="7"/>
      <c r="I27" s="7"/>
      <c r="J27" s="7"/>
      <c r="K27" s="7"/>
      <c r="L27" s="39" t="str">
        <f t="shared" si="9"/>
        <v>Off Track</v>
      </c>
    </row>
    <row r="28" spans="2:12" ht="27.75" customHeight="1" x14ac:dyDescent="0.2">
      <c r="B28" s="44" t="s">
        <v>93</v>
      </c>
      <c r="C28" s="45" t="s">
        <v>88</v>
      </c>
      <c r="D28" s="46">
        <v>300</v>
      </c>
      <c r="E28" s="46">
        <f t="shared" si="7"/>
        <v>175</v>
      </c>
      <c r="F28" s="46">
        <v>114</v>
      </c>
      <c r="G28" s="7">
        <f t="shared" si="8"/>
        <v>0.65142857142857147</v>
      </c>
      <c r="H28" s="7"/>
      <c r="I28" s="7"/>
      <c r="J28" s="7"/>
      <c r="K28" s="7"/>
      <c r="L28" s="39" t="str">
        <f t="shared" si="9"/>
        <v>Off Track</v>
      </c>
    </row>
    <row r="29" spans="2:12" ht="27.75" customHeight="1" x14ac:dyDescent="0.2">
      <c r="B29" s="44" t="s">
        <v>94</v>
      </c>
      <c r="C29" s="45" t="s">
        <v>88</v>
      </c>
      <c r="D29" s="46">
        <v>750</v>
      </c>
      <c r="E29" s="46">
        <f t="shared" si="7"/>
        <v>437.5</v>
      </c>
      <c r="F29" s="46">
        <v>284</v>
      </c>
      <c r="G29" s="7">
        <f t="shared" si="8"/>
        <v>0.64914285714285713</v>
      </c>
      <c r="H29" s="7"/>
      <c r="I29" s="7"/>
      <c r="J29" s="7"/>
      <c r="K29" s="7"/>
      <c r="L29" s="39" t="str">
        <f t="shared" si="9"/>
        <v>Off Track</v>
      </c>
    </row>
    <row r="30" spans="2:12" ht="27.75" customHeight="1" x14ac:dyDescent="0.2">
      <c r="B30" s="44" t="s">
        <v>95</v>
      </c>
      <c r="C30" s="45" t="s">
        <v>88</v>
      </c>
      <c r="D30" s="46">
        <v>200</v>
      </c>
      <c r="E30" s="46">
        <f t="shared" si="7"/>
        <v>116.66666666666667</v>
      </c>
      <c r="F30" s="46">
        <v>76</v>
      </c>
      <c r="G30" s="7">
        <f t="shared" si="8"/>
        <v>0.65142857142857136</v>
      </c>
      <c r="H30" s="7"/>
      <c r="I30" s="7"/>
      <c r="J30" s="7"/>
      <c r="K30" s="7"/>
      <c r="L30" s="39" t="str">
        <f t="shared" si="9"/>
        <v>Off Track</v>
      </c>
    </row>
    <row r="31" spans="2:12" ht="21.75" customHeight="1" x14ac:dyDescent="0.2">
      <c r="B31" s="9" t="s">
        <v>96</v>
      </c>
      <c r="C31" s="9"/>
      <c r="D31" s="9"/>
      <c r="E31" s="9"/>
      <c r="F31" s="9"/>
      <c r="G31" s="9"/>
      <c r="H31" s="9"/>
      <c r="I31" s="9"/>
      <c r="J31" s="9"/>
      <c r="K31" s="9"/>
      <c r="L31" s="9"/>
    </row>
    <row r="33" spans="2:12" ht="15" customHeight="1" x14ac:dyDescent="0.2">
      <c r="B33" s="6" t="s">
        <v>97</v>
      </c>
      <c r="C33" s="6"/>
      <c r="D33" s="6"/>
      <c r="E33" s="6"/>
      <c r="F33" s="6"/>
      <c r="G33" s="6"/>
      <c r="H33" s="6"/>
      <c r="I33" s="6"/>
      <c r="J33" s="6"/>
      <c r="K33" s="6"/>
      <c r="L33" s="6"/>
    </row>
    <row r="34" spans="2:12" ht="15" customHeight="1" x14ac:dyDescent="0.2">
      <c r="B34" s="11" t="s">
        <v>98</v>
      </c>
      <c r="C34" s="11"/>
      <c r="D34" s="11"/>
      <c r="E34" s="47" t="str">
        <f>L18</f>
        <v>Off Track</v>
      </c>
      <c r="F34" s="11" t="s">
        <v>99</v>
      </c>
      <c r="G34" s="11"/>
      <c r="H34" s="11"/>
      <c r="I34" s="11"/>
      <c r="J34" s="5" t="str">
        <f>COUNTIF(L9:L17,"Off Track")&amp;" of "&amp;COUNTA(L9:L17)</f>
        <v>9 of 9</v>
      </c>
      <c r="K34" s="5"/>
    </row>
    <row r="35" spans="2:12" ht="15" customHeight="1" x14ac:dyDescent="0.2">
      <c r="B35" s="11" t="s">
        <v>100</v>
      </c>
      <c r="C35" s="11"/>
      <c r="D35" s="11"/>
      <c r="E35" s="47" t="str">
        <f>IF(COUNTIF(L23:L30,"Off Track")&gt;0,"Off Track",IF(COUNTIF(L23:L30,"Watch")&gt;0,"Watch","On Track"))</f>
        <v>Off Track</v>
      </c>
      <c r="F35" s="11" t="s">
        <v>101</v>
      </c>
      <c r="G35" s="11"/>
      <c r="H35" s="11"/>
      <c r="I35" s="11"/>
      <c r="J35" s="5" t="str">
        <f>COUNTIF(L23:L30,"Off Track")&amp;" of "&amp;COUNTA(L23:L30)</f>
        <v>8 of 8</v>
      </c>
      <c r="K35" s="5"/>
    </row>
    <row r="36" spans="2:12" ht="21.75" customHeight="1" x14ac:dyDescent="0.2">
      <c r="B36" s="4" t="s">
        <v>102</v>
      </c>
      <c r="C36" s="4"/>
      <c r="D36" s="4"/>
      <c r="E36" s="48" t="str">
        <f>IF(OR(E34="Off Track",E35="Off Track"),"Off Track",IF(OR(E34="Watch",E35="Watch"),"Watch","On Track"))</f>
        <v>Off Track</v>
      </c>
    </row>
    <row r="38" spans="2:12" ht="15" customHeight="1" x14ac:dyDescent="0.2">
      <c r="B38" s="15" t="s">
        <v>103</v>
      </c>
    </row>
    <row r="39" spans="2:12" ht="15" customHeight="1" x14ac:dyDescent="0.2">
      <c r="B39" s="3" t="s">
        <v>104</v>
      </c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2:12" ht="15" customHeight="1" x14ac:dyDescent="0.2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2:12" ht="15" customHeight="1" x14ac:dyDescent="0.2"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2:12" ht="15" customHeight="1" x14ac:dyDescent="0.2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</sheetData>
  <mergeCells count="24">
    <mergeCell ref="B36:D36"/>
    <mergeCell ref="B39:L42"/>
    <mergeCell ref="B33:L33"/>
    <mergeCell ref="B34:D34"/>
    <mergeCell ref="F34:I34"/>
    <mergeCell ref="J34:K34"/>
    <mergeCell ref="B35:D35"/>
    <mergeCell ref="F35:I35"/>
    <mergeCell ref="J35:K35"/>
    <mergeCell ref="G27:K27"/>
    <mergeCell ref="G28:K28"/>
    <mergeCell ref="G29:K29"/>
    <mergeCell ref="G30:K30"/>
    <mergeCell ref="B31:L31"/>
    <mergeCell ref="B21:L21"/>
    <mergeCell ref="G23:K23"/>
    <mergeCell ref="G24:K24"/>
    <mergeCell ref="G25:K25"/>
    <mergeCell ref="G26:K26"/>
    <mergeCell ref="B2:L2"/>
    <mergeCell ref="I4:J4"/>
    <mergeCell ref="I5:J5"/>
    <mergeCell ref="B7:K7"/>
    <mergeCell ref="B19:L19"/>
  </mergeCells>
  <conditionalFormatting sqref="E34:E36">
    <cfRule type="cellIs" dxfId="23" priority="10" operator="equal">
      <formula>"On Track"</formula>
    </cfRule>
    <cfRule type="cellIs" dxfId="22" priority="11" operator="equal">
      <formula>"Watch"</formula>
    </cfRule>
    <cfRule type="cellIs" dxfId="21" priority="12" operator="equal">
      <formula>"Off Track"</formula>
    </cfRule>
    <cfRule type="cellIs" dxfId="20" priority="13" operator="equal">
      <formula>"N/A"</formula>
    </cfRule>
  </conditionalFormatting>
  <conditionalFormatting sqref="L9:L18">
    <cfRule type="cellIs" dxfId="19" priority="2" operator="equal">
      <formula>"On Track"</formula>
    </cfRule>
    <cfRule type="cellIs" dxfId="18" priority="3" operator="equal">
      <formula>"Watch"</formula>
    </cfRule>
    <cfRule type="cellIs" dxfId="17" priority="4" operator="equal">
      <formula>"Off Track"</formula>
    </cfRule>
    <cfRule type="cellIs" dxfId="16" priority="5" operator="equal">
      <formula>"N/A"</formula>
    </cfRule>
  </conditionalFormatting>
  <conditionalFormatting sqref="L23:L30">
    <cfRule type="cellIs" dxfId="15" priority="6" operator="equal">
      <formula>"On Track"</formula>
    </cfRule>
    <cfRule type="cellIs" dxfId="14" priority="7" operator="equal">
      <formula>"Watch"</formula>
    </cfRule>
    <cfRule type="cellIs" dxfId="13" priority="8" operator="equal">
      <formula>"Off Track"</formula>
    </cfRule>
    <cfRule type="cellIs" dxfId="12" priority="9" operator="equal">
      <formula>"N/A"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L42"/>
  <sheetViews>
    <sheetView showGridLines="0" topLeftCell="A16" zoomScaleNormal="100" workbookViewId="0">
      <selection activeCell="B12" sqref="B12"/>
    </sheetView>
  </sheetViews>
  <sheetFormatPr baseColWidth="10" defaultColWidth="8.6640625" defaultRowHeight="15" x14ac:dyDescent="0.2"/>
  <cols>
    <col min="2" max="2" width="84.33203125" customWidth="1"/>
    <col min="3" max="3" width="19.1640625" customWidth="1"/>
    <col min="4" max="4" width="17.6640625" customWidth="1"/>
    <col min="5" max="5" width="13" customWidth="1"/>
    <col min="6" max="6" width="16" customWidth="1"/>
    <col min="7" max="7" width="13.5" customWidth="1"/>
    <col min="8" max="8" width="12.5" customWidth="1"/>
    <col min="9" max="9" width="11.6640625" customWidth="1"/>
    <col min="10" max="10" width="15.1640625" customWidth="1"/>
    <col min="11" max="11" width="9.83203125" customWidth="1"/>
    <col min="12" max="12" width="13" customWidth="1"/>
    <col min="13" max="13" width="4.83203125" customWidth="1"/>
  </cols>
  <sheetData>
    <row r="2" spans="2:12" ht="25.5" customHeight="1" x14ac:dyDescent="0.2">
      <c r="B2" s="12" t="s">
        <v>126</v>
      </c>
      <c r="C2" s="12"/>
      <c r="D2" s="12"/>
      <c r="E2" s="12"/>
      <c r="F2" s="12"/>
      <c r="G2" s="12"/>
      <c r="H2" s="12"/>
      <c r="I2" s="12"/>
      <c r="J2" s="12"/>
      <c r="K2" s="12"/>
      <c r="L2" s="12"/>
    </row>
    <row r="4" spans="2:12" ht="15" customHeight="1" x14ac:dyDescent="0.2">
      <c r="B4" s="15" t="s">
        <v>49</v>
      </c>
      <c r="C4" s="32" t="s">
        <v>127</v>
      </c>
      <c r="E4" s="15" t="s">
        <v>50</v>
      </c>
      <c r="G4" s="33">
        <f ca="1">TODAY()</f>
        <v>46202</v>
      </c>
      <c r="I4" s="11" t="s">
        <v>51</v>
      </c>
      <c r="J4" s="11"/>
      <c r="K4" s="32">
        <v>6</v>
      </c>
    </row>
    <row r="5" spans="2:12" ht="15" customHeight="1" x14ac:dyDescent="0.2">
      <c r="B5" s="15" t="s">
        <v>52</v>
      </c>
      <c r="C5" s="32" t="s">
        <v>128</v>
      </c>
      <c r="E5" s="15" t="s">
        <v>54</v>
      </c>
      <c r="G5" s="32" t="s">
        <v>55</v>
      </c>
      <c r="I5" s="11" t="s">
        <v>56</v>
      </c>
      <c r="J5" s="11"/>
      <c r="K5" s="32">
        <v>2</v>
      </c>
    </row>
    <row r="7" spans="2:12" ht="15.75" customHeight="1" x14ac:dyDescent="0.2">
      <c r="B7" s="10" t="s">
        <v>57</v>
      </c>
      <c r="C7" s="10"/>
      <c r="D7" s="10"/>
      <c r="E7" s="10"/>
      <c r="F7" s="10"/>
      <c r="G7" s="10"/>
      <c r="H7" s="10"/>
      <c r="I7" s="10"/>
      <c r="J7" s="10"/>
      <c r="K7" s="10"/>
    </row>
    <row r="8" spans="2:12" ht="31.5" customHeight="1" x14ac:dyDescent="0.2">
      <c r="B8" s="20" t="s">
        <v>58</v>
      </c>
      <c r="C8" s="20" t="s">
        <v>59</v>
      </c>
      <c r="D8" s="20" t="s">
        <v>60</v>
      </c>
      <c r="E8" s="20" t="s">
        <v>61</v>
      </c>
      <c r="F8" s="20" t="s">
        <v>62</v>
      </c>
      <c r="G8" s="20" t="s">
        <v>63</v>
      </c>
      <c r="H8" s="20" t="s">
        <v>64</v>
      </c>
      <c r="I8" s="20" t="s">
        <v>65</v>
      </c>
      <c r="J8" s="20" t="s">
        <v>66</v>
      </c>
      <c r="K8" s="20" t="s">
        <v>67</v>
      </c>
      <c r="L8" s="20" t="s">
        <v>68</v>
      </c>
    </row>
    <row r="9" spans="2:12" ht="15" customHeight="1" x14ac:dyDescent="0.2">
      <c r="B9" s="34" t="s">
        <v>69</v>
      </c>
      <c r="C9" s="35">
        <v>18000000</v>
      </c>
      <c r="D9" s="36">
        <f t="shared" ref="D9:D17" si="0">C9*$K$5/$K$4</f>
        <v>6000000</v>
      </c>
      <c r="E9" s="35">
        <v>6480000</v>
      </c>
      <c r="F9" s="36">
        <f t="shared" ref="F9:F18" si="1">E9-D9</f>
        <v>480000</v>
      </c>
      <c r="G9" s="37">
        <f t="shared" ref="G9:G18" si="2">IF(D9=0,"N/A",F9/D9)</f>
        <v>0.08</v>
      </c>
      <c r="H9" s="35">
        <v>3240000</v>
      </c>
      <c r="I9" s="36">
        <f t="shared" ref="I9:I18" si="3">IF($K$5=0,"N/A",E9/$K$5)</f>
        <v>3240000</v>
      </c>
      <c r="J9" s="36">
        <f t="shared" ref="J9:J18" si="4">IF(C9=0,"N/A",I9*$K$4)</f>
        <v>19440000</v>
      </c>
      <c r="K9" s="38">
        <f t="shared" ref="K9:K18" si="5">IF($K$4-$K$5&lt;0,0,$K$4-$K$5)</f>
        <v>4</v>
      </c>
      <c r="L9" s="39" t="str">
        <f t="shared" ref="L9:L18" si="6">IF(G9="N/A","N/A",IF(ABS(G9)&lt;=0.1,"On Track",IF(ABS(G9)&lt;=0.2,"Watch","Off Track")))</f>
        <v>On Track</v>
      </c>
    </row>
    <row r="10" spans="2:12" ht="15" customHeight="1" x14ac:dyDescent="0.2">
      <c r="B10" s="34" t="s">
        <v>70</v>
      </c>
      <c r="C10" s="35">
        <v>9000000</v>
      </c>
      <c r="D10" s="36">
        <f t="shared" si="0"/>
        <v>3000000</v>
      </c>
      <c r="E10" s="35">
        <v>3240000</v>
      </c>
      <c r="F10" s="36">
        <f t="shared" si="1"/>
        <v>240000</v>
      </c>
      <c r="G10" s="37">
        <f t="shared" si="2"/>
        <v>0.08</v>
      </c>
      <c r="H10" s="35">
        <v>1620000</v>
      </c>
      <c r="I10" s="36">
        <f t="shared" si="3"/>
        <v>1620000</v>
      </c>
      <c r="J10" s="36">
        <f t="shared" si="4"/>
        <v>9720000</v>
      </c>
      <c r="K10" s="38">
        <f t="shared" si="5"/>
        <v>4</v>
      </c>
      <c r="L10" s="39" t="str">
        <f t="shared" si="6"/>
        <v>On Track</v>
      </c>
    </row>
    <row r="11" spans="2:12" ht="15" customHeight="1" x14ac:dyDescent="0.2">
      <c r="B11" s="34" t="s">
        <v>71</v>
      </c>
      <c r="C11" s="35">
        <v>7500000</v>
      </c>
      <c r="D11" s="36">
        <f t="shared" si="0"/>
        <v>2500000</v>
      </c>
      <c r="E11" s="35">
        <v>2700000</v>
      </c>
      <c r="F11" s="36">
        <f t="shared" si="1"/>
        <v>200000</v>
      </c>
      <c r="G11" s="37">
        <f t="shared" si="2"/>
        <v>0.08</v>
      </c>
      <c r="H11" s="35">
        <v>1350000</v>
      </c>
      <c r="I11" s="36">
        <f t="shared" si="3"/>
        <v>1350000</v>
      </c>
      <c r="J11" s="36">
        <f t="shared" si="4"/>
        <v>8100000</v>
      </c>
      <c r="K11" s="38">
        <f t="shared" si="5"/>
        <v>4</v>
      </c>
      <c r="L11" s="39" t="str">
        <f t="shared" si="6"/>
        <v>On Track</v>
      </c>
    </row>
    <row r="12" spans="2:12" ht="15" customHeight="1" x14ac:dyDescent="0.2">
      <c r="B12" s="34" t="s">
        <v>72</v>
      </c>
      <c r="C12" s="35">
        <v>6000000</v>
      </c>
      <c r="D12" s="36">
        <f t="shared" si="0"/>
        <v>2000000</v>
      </c>
      <c r="E12" s="35">
        <v>2160000</v>
      </c>
      <c r="F12" s="36">
        <f t="shared" si="1"/>
        <v>160000</v>
      </c>
      <c r="G12" s="37">
        <f t="shared" si="2"/>
        <v>0.08</v>
      </c>
      <c r="H12" s="35">
        <v>1080000</v>
      </c>
      <c r="I12" s="36">
        <f t="shared" si="3"/>
        <v>1080000</v>
      </c>
      <c r="J12" s="36">
        <f t="shared" si="4"/>
        <v>6480000</v>
      </c>
      <c r="K12" s="38">
        <f t="shared" si="5"/>
        <v>4</v>
      </c>
      <c r="L12" s="39" t="str">
        <f t="shared" si="6"/>
        <v>On Track</v>
      </c>
    </row>
    <row r="13" spans="2:12" ht="15" customHeight="1" x14ac:dyDescent="0.2">
      <c r="B13" s="34" t="s">
        <v>73</v>
      </c>
      <c r="C13" s="35">
        <v>9500000</v>
      </c>
      <c r="D13" s="36">
        <f t="shared" si="0"/>
        <v>3166666.6666666665</v>
      </c>
      <c r="E13" s="35">
        <v>3420000</v>
      </c>
      <c r="F13" s="36">
        <f t="shared" si="1"/>
        <v>253333.33333333349</v>
      </c>
      <c r="G13" s="37">
        <f t="shared" si="2"/>
        <v>8.0000000000000057E-2</v>
      </c>
      <c r="H13" s="35">
        <v>1710000</v>
      </c>
      <c r="I13" s="36">
        <f t="shared" si="3"/>
        <v>1710000</v>
      </c>
      <c r="J13" s="36">
        <f t="shared" si="4"/>
        <v>10260000</v>
      </c>
      <c r="K13" s="38">
        <f t="shared" si="5"/>
        <v>4</v>
      </c>
      <c r="L13" s="39" t="str">
        <f t="shared" si="6"/>
        <v>On Track</v>
      </c>
    </row>
    <row r="14" spans="2:12" ht="15" customHeight="1" x14ac:dyDescent="0.2">
      <c r="B14" s="34" t="s">
        <v>74</v>
      </c>
      <c r="C14" s="35">
        <v>4000000</v>
      </c>
      <c r="D14" s="36">
        <f t="shared" si="0"/>
        <v>1333333.3333333333</v>
      </c>
      <c r="E14" s="35">
        <v>1440000</v>
      </c>
      <c r="F14" s="36">
        <f t="shared" si="1"/>
        <v>106666.66666666674</v>
      </c>
      <c r="G14" s="37">
        <f t="shared" si="2"/>
        <v>8.0000000000000057E-2</v>
      </c>
      <c r="H14" s="35">
        <v>720000</v>
      </c>
      <c r="I14" s="36">
        <f t="shared" si="3"/>
        <v>720000</v>
      </c>
      <c r="J14" s="36">
        <f t="shared" si="4"/>
        <v>4320000</v>
      </c>
      <c r="K14" s="38">
        <f t="shared" si="5"/>
        <v>4</v>
      </c>
      <c r="L14" s="39" t="str">
        <f t="shared" si="6"/>
        <v>On Track</v>
      </c>
    </row>
    <row r="15" spans="2:12" ht="15" customHeight="1" x14ac:dyDescent="0.2">
      <c r="B15" s="34" t="s">
        <v>75</v>
      </c>
      <c r="C15" s="35">
        <v>6500000</v>
      </c>
      <c r="D15" s="36">
        <f t="shared" si="0"/>
        <v>2166666.6666666665</v>
      </c>
      <c r="E15" s="35">
        <v>2340000</v>
      </c>
      <c r="F15" s="36">
        <f t="shared" si="1"/>
        <v>173333.33333333349</v>
      </c>
      <c r="G15" s="37">
        <f t="shared" si="2"/>
        <v>8.0000000000000071E-2</v>
      </c>
      <c r="H15" s="35">
        <v>1170000</v>
      </c>
      <c r="I15" s="36">
        <f t="shared" si="3"/>
        <v>1170000</v>
      </c>
      <c r="J15" s="36">
        <f t="shared" si="4"/>
        <v>7020000</v>
      </c>
      <c r="K15" s="38">
        <f t="shared" si="5"/>
        <v>4</v>
      </c>
      <c r="L15" s="39" t="str">
        <f t="shared" si="6"/>
        <v>On Track</v>
      </c>
    </row>
    <row r="16" spans="2:12" ht="15" customHeight="1" x14ac:dyDescent="0.2">
      <c r="B16" s="34" t="s">
        <v>76</v>
      </c>
      <c r="C16" s="35">
        <v>3000000</v>
      </c>
      <c r="D16" s="36">
        <f t="shared" si="0"/>
        <v>1000000</v>
      </c>
      <c r="E16" s="35">
        <v>1080000</v>
      </c>
      <c r="F16" s="36">
        <f t="shared" si="1"/>
        <v>80000</v>
      </c>
      <c r="G16" s="37">
        <f t="shared" si="2"/>
        <v>0.08</v>
      </c>
      <c r="H16" s="35">
        <v>540000</v>
      </c>
      <c r="I16" s="36">
        <f t="shared" si="3"/>
        <v>540000</v>
      </c>
      <c r="J16" s="36">
        <f t="shared" si="4"/>
        <v>3240000</v>
      </c>
      <c r="K16" s="38">
        <f t="shared" si="5"/>
        <v>4</v>
      </c>
      <c r="L16" s="39" t="str">
        <f t="shared" si="6"/>
        <v>On Track</v>
      </c>
    </row>
    <row r="17" spans="2:12" ht="15" customHeight="1" x14ac:dyDescent="0.2">
      <c r="B17" s="34" t="s">
        <v>77</v>
      </c>
      <c r="C17" s="35">
        <v>5000000</v>
      </c>
      <c r="D17" s="36">
        <f t="shared" si="0"/>
        <v>1666666.6666666667</v>
      </c>
      <c r="E17" s="35">
        <v>1800000</v>
      </c>
      <c r="F17" s="36">
        <f t="shared" si="1"/>
        <v>133333.33333333326</v>
      </c>
      <c r="G17" s="37">
        <f t="shared" si="2"/>
        <v>7.9999999999999946E-2</v>
      </c>
      <c r="H17" s="35">
        <v>900000</v>
      </c>
      <c r="I17" s="36">
        <f t="shared" si="3"/>
        <v>900000</v>
      </c>
      <c r="J17" s="36">
        <f t="shared" si="4"/>
        <v>5400000</v>
      </c>
      <c r="K17" s="38">
        <f t="shared" si="5"/>
        <v>4</v>
      </c>
      <c r="L17" s="39" t="str">
        <f t="shared" si="6"/>
        <v>On Track</v>
      </c>
    </row>
    <row r="18" spans="2:12" ht="15" customHeight="1" x14ac:dyDescent="0.2">
      <c r="B18" s="27" t="s">
        <v>78</v>
      </c>
      <c r="C18" s="28">
        <f>SUM(C9:C17)</f>
        <v>68500000</v>
      </c>
      <c r="D18" s="28">
        <f>SUM(D9:D17)</f>
        <v>22833333.333333336</v>
      </c>
      <c r="E18" s="28">
        <f>SUM(E9:E17)</f>
        <v>24660000</v>
      </c>
      <c r="F18" s="40">
        <f t="shared" si="1"/>
        <v>1826666.6666666642</v>
      </c>
      <c r="G18" s="41">
        <f t="shared" si="2"/>
        <v>7.9999999999999877E-2</v>
      </c>
      <c r="H18" s="28">
        <f>SUM(H9:H17)</f>
        <v>12330000</v>
      </c>
      <c r="I18" s="28">
        <f t="shared" si="3"/>
        <v>12330000</v>
      </c>
      <c r="J18" s="28">
        <f t="shared" si="4"/>
        <v>73980000</v>
      </c>
      <c r="K18" s="40">
        <f t="shared" si="5"/>
        <v>4</v>
      </c>
      <c r="L18" s="42" t="str">
        <f t="shared" si="6"/>
        <v>On Track</v>
      </c>
    </row>
    <row r="19" spans="2:12" ht="15.75" customHeight="1" x14ac:dyDescent="0.2">
      <c r="B19" s="9" t="s">
        <v>79</v>
      </c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2:12" ht="31.5" customHeight="1" x14ac:dyDescent="0.2"/>
    <row r="21" spans="2:12" ht="27.75" customHeight="1" x14ac:dyDescent="0.2">
      <c r="B21" s="8" t="s">
        <v>80</v>
      </c>
      <c r="C21" s="8"/>
      <c r="D21" s="8"/>
      <c r="E21" s="8"/>
      <c r="F21" s="8"/>
      <c r="G21" s="8"/>
      <c r="H21" s="8"/>
      <c r="I21" s="8"/>
      <c r="J21" s="8"/>
      <c r="K21" s="8"/>
      <c r="L21" s="8"/>
    </row>
    <row r="22" spans="2:12" ht="31.5" customHeight="1" x14ac:dyDescent="0.2">
      <c r="B22" s="43" t="s">
        <v>81</v>
      </c>
      <c r="C22" s="43" t="s">
        <v>82</v>
      </c>
      <c r="D22" s="43" t="s">
        <v>83</v>
      </c>
      <c r="E22" s="43" t="s">
        <v>84</v>
      </c>
      <c r="F22" s="43" t="s">
        <v>85</v>
      </c>
      <c r="G22" s="43" t="s">
        <v>86</v>
      </c>
      <c r="L22" s="43" t="s">
        <v>68</v>
      </c>
    </row>
    <row r="23" spans="2:12" ht="27.75" customHeight="1" x14ac:dyDescent="0.2">
      <c r="B23" s="44" t="s">
        <v>87</v>
      </c>
      <c r="C23" s="45" t="s">
        <v>88</v>
      </c>
      <c r="D23" s="46">
        <v>1200</v>
      </c>
      <c r="E23" s="46">
        <f t="shared" ref="E23:E30" si="7">D23*$K$5/$K$4</f>
        <v>400</v>
      </c>
      <c r="F23" s="46">
        <v>312</v>
      </c>
      <c r="G23" s="7">
        <f t="shared" ref="G23:G30" si="8">IF(E23=0,"N/A",F23/E23)</f>
        <v>0.78</v>
      </c>
      <c r="H23" s="7"/>
      <c r="I23" s="7"/>
      <c r="J23" s="7"/>
      <c r="K23" s="7"/>
      <c r="L23" s="39" t="str">
        <f t="shared" ref="L23:L30" si="9">IF(G23="N/A","N/A",IF(G23&gt;=0.9,"On Track",IF(G23&gt;=0.75,"Watch","Off Track")))</f>
        <v>Watch</v>
      </c>
    </row>
    <row r="24" spans="2:12" ht="27.75" customHeight="1" x14ac:dyDescent="0.2">
      <c r="B24" s="44" t="s">
        <v>89</v>
      </c>
      <c r="C24" s="45" t="s">
        <v>88</v>
      </c>
      <c r="D24" s="46">
        <v>600</v>
      </c>
      <c r="E24" s="46">
        <f t="shared" si="7"/>
        <v>200</v>
      </c>
      <c r="F24" s="46">
        <v>156</v>
      </c>
      <c r="G24" s="7">
        <f t="shared" si="8"/>
        <v>0.78</v>
      </c>
      <c r="H24" s="7"/>
      <c r="I24" s="7"/>
      <c r="J24" s="7"/>
      <c r="K24" s="7"/>
      <c r="L24" s="39" t="str">
        <f t="shared" si="9"/>
        <v>Watch</v>
      </c>
    </row>
    <row r="25" spans="2:12" ht="27.75" customHeight="1" x14ac:dyDescent="0.2">
      <c r="B25" s="44" t="s">
        <v>90</v>
      </c>
      <c r="C25" s="45" t="s">
        <v>88</v>
      </c>
      <c r="D25" s="46">
        <v>900</v>
      </c>
      <c r="E25" s="46">
        <f t="shared" si="7"/>
        <v>300</v>
      </c>
      <c r="F25" s="46">
        <v>234</v>
      </c>
      <c r="G25" s="7">
        <f t="shared" si="8"/>
        <v>0.78</v>
      </c>
      <c r="H25" s="7"/>
      <c r="I25" s="7"/>
      <c r="J25" s="7"/>
      <c r="K25" s="7"/>
      <c r="L25" s="39" t="str">
        <f t="shared" si="9"/>
        <v>Watch</v>
      </c>
    </row>
    <row r="26" spans="2:12" ht="27.75" customHeight="1" x14ac:dyDescent="0.2">
      <c r="B26" s="44" t="s">
        <v>91</v>
      </c>
      <c r="C26" s="45" t="s">
        <v>88</v>
      </c>
      <c r="D26" s="46">
        <v>450</v>
      </c>
      <c r="E26" s="46">
        <f t="shared" si="7"/>
        <v>150</v>
      </c>
      <c r="F26" s="46">
        <v>117</v>
      </c>
      <c r="G26" s="7">
        <f t="shared" si="8"/>
        <v>0.78</v>
      </c>
      <c r="H26" s="7"/>
      <c r="I26" s="7"/>
      <c r="J26" s="7"/>
      <c r="K26" s="7"/>
      <c r="L26" s="39" t="str">
        <f t="shared" si="9"/>
        <v>Watch</v>
      </c>
    </row>
    <row r="27" spans="2:12" ht="27.75" customHeight="1" x14ac:dyDescent="0.2">
      <c r="B27" s="44" t="s">
        <v>92</v>
      </c>
      <c r="C27" s="45" t="s">
        <v>88</v>
      </c>
      <c r="D27" s="46">
        <v>1500</v>
      </c>
      <c r="E27" s="46">
        <f t="shared" si="7"/>
        <v>500</v>
      </c>
      <c r="F27" s="46">
        <v>390</v>
      </c>
      <c r="G27" s="7">
        <f t="shared" si="8"/>
        <v>0.78</v>
      </c>
      <c r="H27" s="7"/>
      <c r="I27" s="7"/>
      <c r="J27" s="7"/>
      <c r="K27" s="7"/>
      <c r="L27" s="39" t="str">
        <f t="shared" si="9"/>
        <v>Watch</v>
      </c>
    </row>
    <row r="28" spans="2:12" ht="27.75" customHeight="1" x14ac:dyDescent="0.2">
      <c r="B28" s="44" t="s">
        <v>93</v>
      </c>
      <c r="C28" s="45" t="s">
        <v>88</v>
      </c>
      <c r="D28" s="46">
        <v>300</v>
      </c>
      <c r="E28" s="46">
        <f t="shared" si="7"/>
        <v>100</v>
      </c>
      <c r="F28" s="46">
        <v>78</v>
      </c>
      <c r="G28" s="7">
        <f t="shared" si="8"/>
        <v>0.78</v>
      </c>
      <c r="H28" s="7"/>
      <c r="I28" s="7"/>
      <c r="J28" s="7"/>
      <c r="K28" s="7"/>
      <c r="L28" s="39" t="str">
        <f t="shared" si="9"/>
        <v>Watch</v>
      </c>
    </row>
    <row r="29" spans="2:12" ht="27.75" customHeight="1" x14ac:dyDescent="0.2">
      <c r="B29" s="44" t="s">
        <v>94</v>
      </c>
      <c r="C29" s="45" t="s">
        <v>88</v>
      </c>
      <c r="D29" s="46">
        <v>750</v>
      </c>
      <c r="E29" s="46">
        <f t="shared" si="7"/>
        <v>250</v>
      </c>
      <c r="F29" s="46">
        <v>195</v>
      </c>
      <c r="G29" s="7">
        <f t="shared" si="8"/>
        <v>0.78</v>
      </c>
      <c r="H29" s="7"/>
      <c r="I29" s="7"/>
      <c r="J29" s="7"/>
      <c r="K29" s="7"/>
      <c r="L29" s="39" t="str">
        <f t="shared" si="9"/>
        <v>Watch</v>
      </c>
    </row>
    <row r="30" spans="2:12" ht="27.75" customHeight="1" x14ac:dyDescent="0.2">
      <c r="B30" s="44" t="s">
        <v>95</v>
      </c>
      <c r="C30" s="45" t="s">
        <v>88</v>
      </c>
      <c r="D30" s="46">
        <v>200</v>
      </c>
      <c r="E30" s="46">
        <f t="shared" si="7"/>
        <v>66.666666666666671</v>
      </c>
      <c r="F30" s="46">
        <v>52</v>
      </c>
      <c r="G30" s="7">
        <f t="shared" si="8"/>
        <v>0.77999999999999992</v>
      </c>
      <c r="H30" s="7"/>
      <c r="I30" s="7"/>
      <c r="J30" s="7"/>
      <c r="K30" s="7"/>
      <c r="L30" s="39" t="str">
        <f t="shared" si="9"/>
        <v>Watch</v>
      </c>
    </row>
    <row r="31" spans="2:12" ht="21.75" customHeight="1" x14ac:dyDescent="0.2">
      <c r="B31" s="9" t="s">
        <v>96</v>
      </c>
      <c r="C31" s="9"/>
      <c r="D31" s="9"/>
      <c r="E31" s="9"/>
      <c r="F31" s="9"/>
      <c r="G31" s="9"/>
      <c r="H31" s="9"/>
      <c r="I31" s="9"/>
      <c r="J31" s="9"/>
      <c r="K31" s="9"/>
      <c r="L31" s="9"/>
    </row>
    <row r="33" spans="2:12" ht="15" customHeight="1" x14ac:dyDescent="0.2">
      <c r="B33" s="6" t="s">
        <v>97</v>
      </c>
      <c r="C33" s="6"/>
      <c r="D33" s="6"/>
      <c r="E33" s="6"/>
      <c r="F33" s="6"/>
      <c r="G33" s="6"/>
      <c r="H33" s="6"/>
      <c r="I33" s="6"/>
      <c r="J33" s="6"/>
      <c r="K33" s="6"/>
      <c r="L33" s="6"/>
    </row>
    <row r="34" spans="2:12" ht="15" customHeight="1" x14ac:dyDescent="0.2">
      <c r="B34" s="11" t="s">
        <v>98</v>
      </c>
      <c r="C34" s="11"/>
      <c r="D34" s="11"/>
      <c r="E34" s="47" t="str">
        <f>L18</f>
        <v>On Track</v>
      </c>
      <c r="F34" s="11" t="s">
        <v>99</v>
      </c>
      <c r="G34" s="11"/>
      <c r="H34" s="11"/>
      <c r="I34" s="11"/>
      <c r="J34" s="5" t="str">
        <f>COUNTIF(L9:L17,"Off Track")&amp;" of "&amp;COUNTA(L9:L17)</f>
        <v>0 of 9</v>
      </c>
      <c r="K34" s="5"/>
    </row>
    <row r="35" spans="2:12" ht="15" customHeight="1" x14ac:dyDescent="0.2">
      <c r="B35" s="11" t="s">
        <v>100</v>
      </c>
      <c r="C35" s="11"/>
      <c r="D35" s="11"/>
      <c r="E35" s="47" t="str">
        <f>IF(COUNTIF(L23:L30,"Off Track")&gt;0,"Off Track",IF(COUNTIF(L23:L30,"Watch")&gt;0,"Watch","On Track"))</f>
        <v>Watch</v>
      </c>
      <c r="F35" s="11" t="s">
        <v>101</v>
      </c>
      <c r="G35" s="11"/>
      <c r="H35" s="11"/>
      <c r="I35" s="11"/>
      <c r="J35" s="5" t="str">
        <f>COUNTIF(L23:L30,"Off Track")&amp;" of "&amp;COUNTA(L23:L30)</f>
        <v>0 of 8</v>
      </c>
      <c r="K35" s="5"/>
    </row>
    <row r="36" spans="2:12" ht="21.75" customHeight="1" x14ac:dyDescent="0.2">
      <c r="B36" s="4" t="s">
        <v>102</v>
      </c>
      <c r="C36" s="4"/>
      <c r="D36" s="4"/>
      <c r="E36" s="48" t="str">
        <f>IF(OR(E34="Off Track",E35="Off Track"),"Off Track",IF(OR(E34="Watch",E35="Watch"),"Watch","On Track"))</f>
        <v>Watch</v>
      </c>
    </row>
    <row r="38" spans="2:12" ht="15" customHeight="1" x14ac:dyDescent="0.2">
      <c r="B38" s="15" t="s">
        <v>103</v>
      </c>
    </row>
    <row r="39" spans="2:12" ht="15" customHeight="1" x14ac:dyDescent="0.2">
      <c r="B39" s="3" t="s">
        <v>104</v>
      </c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2:12" ht="15" customHeight="1" x14ac:dyDescent="0.2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2:12" ht="15" customHeight="1" x14ac:dyDescent="0.2"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2:12" ht="15" customHeight="1" x14ac:dyDescent="0.2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</sheetData>
  <mergeCells count="24">
    <mergeCell ref="B36:D36"/>
    <mergeCell ref="B39:L42"/>
    <mergeCell ref="B33:L33"/>
    <mergeCell ref="B34:D34"/>
    <mergeCell ref="F34:I34"/>
    <mergeCell ref="J34:K34"/>
    <mergeCell ref="B35:D35"/>
    <mergeCell ref="F35:I35"/>
    <mergeCell ref="J35:K35"/>
    <mergeCell ref="G27:K27"/>
    <mergeCell ref="G28:K28"/>
    <mergeCell ref="G29:K29"/>
    <mergeCell ref="G30:K30"/>
    <mergeCell ref="B31:L31"/>
    <mergeCell ref="B21:L21"/>
    <mergeCell ref="G23:K23"/>
    <mergeCell ref="G24:K24"/>
    <mergeCell ref="G25:K25"/>
    <mergeCell ref="G26:K26"/>
    <mergeCell ref="B2:L2"/>
    <mergeCell ref="I4:J4"/>
    <mergeCell ref="I5:J5"/>
    <mergeCell ref="B7:K7"/>
    <mergeCell ref="B19:L19"/>
  </mergeCells>
  <conditionalFormatting sqref="E34:E36">
    <cfRule type="cellIs" dxfId="11" priority="10" operator="equal">
      <formula>"On Track"</formula>
    </cfRule>
    <cfRule type="cellIs" dxfId="10" priority="11" operator="equal">
      <formula>"Watch"</formula>
    </cfRule>
    <cfRule type="cellIs" dxfId="9" priority="12" operator="equal">
      <formula>"Off Track"</formula>
    </cfRule>
    <cfRule type="cellIs" dxfId="8" priority="13" operator="equal">
      <formula>"N/A"</formula>
    </cfRule>
  </conditionalFormatting>
  <conditionalFormatting sqref="L9:L18">
    <cfRule type="cellIs" dxfId="7" priority="2" operator="equal">
      <formula>"On Track"</formula>
    </cfRule>
    <cfRule type="cellIs" dxfId="6" priority="3" operator="equal">
      <formula>"Watch"</formula>
    </cfRule>
    <cfRule type="cellIs" dxfId="5" priority="4" operator="equal">
      <formula>"Off Track"</formula>
    </cfRule>
    <cfRule type="cellIs" dxfId="4" priority="5" operator="equal">
      <formula>"N/A"</formula>
    </cfRule>
  </conditionalFormatting>
  <conditionalFormatting sqref="L23:L30">
    <cfRule type="cellIs" dxfId="3" priority="6" operator="equal">
      <formula>"On Track"</formula>
    </cfRule>
    <cfRule type="cellIs" dxfId="2" priority="7" operator="equal">
      <formula>"Watch"</formula>
    </cfRule>
    <cfRule type="cellIs" dxfId="1" priority="8" operator="equal">
      <formula>"Off Track"</formula>
    </cfRule>
    <cfRule type="cellIs" dxfId="0" priority="9" operator="equal">
      <formula>"N/A"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Cover &amp; Instructions</vt:lpstr>
      <vt:lpstr>Portfolio Dashboard</vt:lpstr>
      <vt:lpstr>Jamii Tekelezi</vt:lpstr>
      <vt:lpstr>CHAP Stawisha</vt:lpstr>
      <vt:lpstr>Eye Health - ACSP &amp; GitLab</vt:lpstr>
      <vt:lpstr>EIS</vt:lpstr>
      <vt:lpstr>BFTW HSS</vt:lpstr>
      <vt:lpstr>BFTW RMNCAH</vt:lpstr>
      <vt:lpstr>PEP</vt:lpstr>
      <vt:lpstr>GF-MNCH</vt:lpstr>
      <vt:lpstr>IMPACT</vt:lpstr>
      <vt:lpstr>CDIC-iCARE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Project Performance Monitoring</dc:title>
  <dc:subject/>
  <dc:creator>Mutugi M'Muriithi</dc:creator>
  <cp:keywords/>
  <dc:description/>
  <cp:lastModifiedBy>Admin</cp:lastModifiedBy>
  <cp:revision>0</cp:revision>
  <dcterms:created xsi:type="dcterms:W3CDTF">2026-06-22T19:03:14Z</dcterms:created>
  <dcterms:modified xsi:type="dcterms:W3CDTF">2026-06-29T10:23:22Z</dcterms:modified>
  <cp:category/>
  <dc:language>en-US</dc:language>
</cp:coreProperties>
</file>